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gmumb\OneDrive\Desktop\certification\"/>
    </mc:Choice>
  </mc:AlternateContent>
  <xr:revisionPtr revIDLastSave="0" documentId="8_{F6F55AAF-199A-4181-A0A7-81A51B9D9F9B}" xr6:coauthVersionLast="47" xr6:coauthVersionMax="47" xr10:uidLastSave="{00000000-0000-0000-0000-000000000000}"/>
  <bookViews>
    <workbookView xWindow="-120" yWindow="-120" windowWidth="29040" windowHeight="15720" activeTab="1" xr2:uid="{C7DDEC1B-4144-40F8-BCDB-D3ADD5760026}"/>
  </bookViews>
  <sheets>
    <sheet name="DataEngine" sheetId="1" r:id="rId1"/>
    <sheet name="Visualizer" sheetId="3" r:id="rId2"/>
    <sheet name="Under-the-Hood" sheetId="2" r:id="rId3"/>
  </sheets>
  <definedNames>
    <definedName name="annual_contribution">Visualizer!$C$5</definedName>
    <definedName name="inflation">Visualizer!$C$8</definedName>
    <definedName name="inflation_rate">Visualizer!$C$8</definedName>
    <definedName name="retirement_age">Visualizer!$C$3</definedName>
    <definedName name="return_rate">Visualizer!$C$6</definedName>
    <definedName name="start_age">Visualizer!$C$2</definedName>
    <definedName name="start_year">Visualizer!$C$9</definedName>
    <definedName name="starting_portfolio">Visualizer!$C$4</definedName>
    <definedName name="withdrawal_rate">Visualizer!$C$7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G2" i="2"/>
  <c r="F2" i="2"/>
  <c r="E2" i="2"/>
  <c r="B2" i="1"/>
  <c r="F2" i="1" s="1"/>
  <c r="D2" i="1"/>
  <c r="E2" i="1" s="1"/>
  <c r="G2" i="1" l="1"/>
  <c r="B3" i="1"/>
  <c r="B4" i="1" s="1"/>
  <c r="B5" i="1" s="1"/>
  <c r="C2" i="1"/>
  <c r="C4" i="1" l="1"/>
  <c r="G4" i="1"/>
  <c r="F4" i="1"/>
  <c r="C5" i="1"/>
  <c r="B6" i="1"/>
  <c r="G5" i="1"/>
  <c r="F5" i="1"/>
  <c r="F3" i="1"/>
  <c r="G3" i="1"/>
  <c r="C3" i="1"/>
  <c r="H2" i="1"/>
  <c r="I2" i="1" s="1"/>
  <c r="G6" i="1" l="1"/>
  <c r="C6" i="1"/>
  <c r="B7" i="1"/>
  <c r="F6" i="1"/>
  <c r="D3" i="1"/>
  <c r="E3" i="1" s="1"/>
  <c r="H3" i="1" s="1"/>
  <c r="D4" i="1" s="1"/>
  <c r="E4" i="1" l="1"/>
  <c r="H4" i="1" s="1"/>
  <c r="F7" i="1"/>
  <c r="C7" i="1"/>
  <c r="B8" i="1"/>
  <c r="G7" i="1"/>
  <c r="I3" i="1"/>
  <c r="I4" i="1" l="1"/>
  <c r="D5" i="1"/>
  <c r="E5" i="1" s="1"/>
  <c r="H5" i="1" s="1"/>
  <c r="G8" i="1"/>
  <c r="F8" i="1"/>
  <c r="B9" i="1"/>
  <c r="C8" i="1"/>
  <c r="D6" i="1" l="1"/>
  <c r="E6" i="1" s="1"/>
  <c r="H6" i="1" s="1"/>
  <c r="D7" i="1" s="1"/>
  <c r="I5" i="1"/>
  <c r="F9" i="1"/>
  <c r="G9" i="1"/>
  <c r="C9" i="1"/>
  <c r="B10" i="1"/>
  <c r="I6" i="1" l="1"/>
  <c r="C10" i="1"/>
  <c r="B11" i="1"/>
  <c r="F10" i="1"/>
  <c r="G10" i="1"/>
  <c r="E7" i="1"/>
  <c r="H7" i="1" s="1"/>
  <c r="I7" i="1" l="1"/>
  <c r="D8" i="1"/>
  <c r="F11" i="1"/>
  <c r="C11" i="1"/>
  <c r="G11" i="1"/>
  <c r="B12" i="1"/>
  <c r="E8" i="1" l="1"/>
  <c r="H8" i="1" s="1"/>
  <c r="C12" i="1"/>
  <c r="B13" i="1"/>
  <c r="G12" i="1"/>
  <c r="F12" i="1"/>
  <c r="C13" i="1" l="1"/>
  <c r="B14" i="1"/>
  <c r="G13" i="1"/>
  <c r="F13" i="1"/>
  <c r="D9" i="1"/>
  <c r="I8" i="1"/>
  <c r="E9" i="1" l="1"/>
  <c r="H9" i="1" s="1"/>
  <c r="G14" i="1"/>
  <c r="C14" i="1"/>
  <c r="B15" i="1"/>
  <c r="F14" i="1"/>
  <c r="D10" i="1" l="1"/>
  <c r="I9" i="1"/>
  <c r="F15" i="1"/>
  <c r="G15" i="1"/>
  <c r="C15" i="1"/>
  <c r="B16" i="1"/>
  <c r="G16" i="1" l="1"/>
  <c r="C16" i="1"/>
  <c r="F16" i="1"/>
  <c r="B17" i="1"/>
  <c r="E10" i="1"/>
  <c r="H10" i="1" s="1"/>
  <c r="D11" i="1" l="1"/>
  <c r="I10" i="1"/>
  <c r="F17" i="1"/>
  <c r="G17" i="1"/>
  <c r="C17" i="1"/>
  <c r="B18" i="1"/>
  <c r="C18" i="1" l="1"/>
  <c r="B19" i="1"/>
  <c r="F18" i="1"/>
  <c r="G18" i="1"/>
  <c r="E11" i="1"/>
  <c r="H11" i="1" s="1"/>
  <c r="F19" i="1" l="1"/>
  <c r="C19" i="1"/>
  <c r="G19" i="1"/>
  <c r="B20" i="1"/>
  <c r="D12" i="1"/>
  <c r="I11" i="1"/>
  <c r="C20" i="1" l="1"/>
  <c r="B21" i="1"/>
  <c r="F20" i="1"/>
  <c r="G20" i="1"/>
  <c r="E12" i="1"/>
  <c r="H12" i="1" s="1"/>
  <c r="I12" i="1" l="1"/>
  <c r="D13" i="1"/>
  <c r="C21" i="1"/>
  <c r="B22" i="1"/>
  <c r="G21" i="1"/>
  <c r="F21" i="1"/>
  <c r="G22" i="1" l="1"/>
  <c r="C22" i="1"/>
  <c r="B23" i="1"/>
  <c r="F22" i="1"/>
  <c r="E13" i="1"/>
  <c r="H13" i="1" s="1"/>
  <c r="I13" i="1" l="1"/>
  <c r="D14" i="1"/>
  <c r="F23" i="1"/>
  <c r="C23" i="1"/>
  <c r="G23" i="1"/>
  <c r="B24" i="1"/>
  <c r="G24" i="1" l="1"/>
  <c r="B25" i="1"/>
  <c r="F24" i="1"/>
  <c r="C24" i="1"/>
  <c r="E14" i="1"/>
  <c r="H14" i="1" s="1"/>
  <c r="I14" i="1" l="1"/>
  <c r="D15" i="1"/>
  <c r="F25" i="1"/>
  <c r="G25" i="1"/>
  <c r="C25" i="1"/>
  <c r="B26" i="1"/>
  <c r="C26" i="1" l="1"/>
  <c r="B27" i="1"/>
  <c r="F26" i="1"/>
  <c r="G26" i="1"/>
  <c r="E15" i="1"/>
  <c r="H15" i="1" s="1"/>
  <c r="I15" i="1" l="1"/>
  <c r="D16" i="1"/>
  <c r="F27" i="1"/>
  <c r="G27" i="1"/>
  <c r="C27" i="1"/>
  <c r="B28" i="1"/>
  <c r="C28" i="1" l="1"/>
  <c r="B29" i="1"/>
  <c r="F28" i="1"/>
  <c r="G28" i="1"/>
  <c r="E16" i="1"/>
  <c r="H16" i="1" s="1"/>
  <c r="D17" i="1" l="1"/>
  <c r="I16" i="1"/>
  <c r="C29" i="1"/>
  <c r="B30" i="1"/>
  <c r="G29" i="1"/>
  <c r="F29" i="1"/>
  <c r="G30" i="1" l="1"/>
  <c r="C30" i="1"/>
  <c r="B31" i="1"/>
  <c r="F30" i="1"/>
  <c r="E17" i="1"/>
  <c r="H17" i="1" s="1"/>
  <c r="D18" i="1" l="1"/>
  <c r="I17" i="1"/>
  <c r="F31" i="1"/>
  <c r="G31" i="1"/>
  <c r="B32" i="1"/>
  <c r="C31" i="1"/>
  <c r="G32" i="1" l="1"/>
  <c r="C32" i="1"/>
  <c r="F32" i="1"/>
  <c r="B33" i="1"/>
  <c r="E18" i="1"/>
  <c r="H18" i="1" s="1"/>
  <c r="D19" i="1" l="1"/>
  <c r="I18" i="1"/>
  <c r="F33" i="1"/>
  <c r="G33" i="1"/>
  <c r="C33" i="1"/>
  <c r="B34" i="1"/>
  <c r="C34" i="1" l="1"/>
  <c r="B35" i="1"/>
  <c r="E19" i="1"/>
  <c r="H19" i="1" s="1"/>
  <c r="D20" i="1" l="1"/>
  <c r="I19" i="1"/>
  <c r="C35" i="1"/>
  <c r="B36" i="1"/>
  <c r="C36" i="1" l="1"/>
  <c r="B37" i="1"/>
  <c r="E20" i="1"/>
  <c r="H20" i="1" s="1"/>
  <c r="I20" i="1" l="1"/>
  <c r="D21" i="1"/>
  <c r="C37" i="1"/>
  <c r="B38" i="1"/>
  <c r="C38" i="1" l="1"/>
  <c r="B39" i="1"/>
  <c r="E21" i="1"/>
  <c r="H21" i="1" s="1"/>
  <c r="I21" i="1" l="1"/>
  <c r="D22" i="1"/>
  <c r="B40" i="1"/>
  <c r="C39" i="1"/>
  <c r="E22" i="1" l="1"/>
  <c r="H22" i="1" s="1"/>
  <c r="B41" i="1"/>
  <c r="C40" i="1"/>
  <c r="I22" i="1" l="1"/>
  <c r="D23" i="1"/>
  <c r="C41" i="1"/>
  <c r="B42" i="1"/>
  <c r="C42" i="1" l="1"/>
  <c r="B43" i="1"/>
  <c r="E23" i="1"/>
  <c r="H23" i="1" s="1"/>
  <c r="I23" i="1" l="1"/>
  <c r="D24" i="1"/>
  <c r="B44" i="1"/>
  <c r="C43" i="1"/>
  <c r="C44" i="1" l="1"/>
  <c r="B45" i="1"/>
  <c r="E24" i="1"/>
  <c r="H24" i="1" s="1"/>
  <c r="D25" i="1" l="1"/>
  <c r="I24" i="1"/>
  <c r="C45" i="1"/>
  <c r="B46" i="1"/>
  <c r="C46" i="1" l="1"/>
  <c r="B47" i="1"/>
  <c r="E25" i="1"/>
  <c r="H25" i="1" s="1"/>
  <c r="I25" i="1" l="1"/>
  <c r="D26" i="1"/>
  <c r="C47" i="1"/>
  <c r="B48" i="1"/>
  <c r="E26" i="1" l="1"/>
  <c r="H26" i="1" s="1"/>
  <c r="B49" i="1"/>
  <c r="C48" i="1"/>
  <c r="C49" i="1" l="1"/>
  <c r="B50" i="1"/>
  <c r="D27" i="1"/>
  <c r="I26" i="1"/>
  <c r="E27" i="1" l="1"/>
  <c r="H27" i="1" s="1"/>
  <c r="C50" i="1"/>
  <c r="B51" i="1"/>
  <c r="D28" i="1" l="1"/>
  <c r="I27" i="1"/>
  <c r="C51" i="1"/>
  <c r="B52" i="1"/>
  <c r="C52" i="1" l="1"/>
  <c r="B53" i="1"/>
  <c r="E28" i="1"/>
  <c r="H28" i="1" s="1"/>
  <c r="I28" i="1" l="1"/>
  <c r="D29" i="1"/>
  <c r="C53" i="1"/>
  <c r="B54" i="1"/>
  <c r="E29" i="1" l="1"/>
  <c r="H29" i="1" s="1"/>
  <c r="C54" i="1"/>
  <c r="B55" i="1"/>
  <c r="I29" i="1" l="1"/>
  <c r="D30" i="1"/>
  <c r="B56" i="1"/>
  <c r="C55" i="1"/>
  <c r="C56" i="1" l="1"/>
  <c r="B57" i="1"/>
  <c r="E30" i="1"/>
  <c r="H30" i="1" s="1"/>
  <c r="C57" i="1" l="1"/>
  <c r="B58" i="1"/>
  <c r="I30" i="1"/>
  <c r="D31" i="1"/>
  <c r="E31" i="1" l="1"/>
  <c r="H31" i="1" s="1"/>
  <c r="C58" i="1"/>
  <c r="B59" i="1"/>
  <c r="I31" i="1" l="1"/>
  <c r="D32" i="1"/>
  <c r="C59" i="1"/>
  <c r="B60" i="1"/>
  <c r="E32" i="1" l="1"/>
  <c r="H32" i="1" s="1"/>
  <c r="C60" i="1"/>
  <c r="B61" i="1"/>
  <c r="D33" i="1" l="1"/>
  <c r="I32" i="1"/>
  <c r="C61" i="1"/>
  <c r="B62" i="1"/>
  <c r="C62" i="1" l="1"/>
  <c r="B63" i="1"/>
  <c r="E33" i="1"/>
  <c r="H33" i="1" s="1"/>
  <c r="I33" i="1" l="1"/>
  <c r="D34" i="1"/>
  <c r="C63" i="1"/>
  <c r="B64" i="1"/>
  <c r="G34" i="1" l="1"/>
  <c r="F34" i="1"/>
  <c r="B65" i="1"/>
  <c r="C64" i="1"/>
  <c r="E34" i="1"/>
  <c r="H34" i="1" s="1"/>
  <c r="D35" i="1" l="1"/>
  <c r="I34" i="1"/>
  <c r="C65" i="1"/>
  <c r="B66" i="1"/>
  <c r="F35" i="1" l="1"/>
  <c r="G35" i="1"/>
  <c r="C66" i="1"/>
  <c r="B67" i="1"/>
  <c r="E35" i="1"/>
  <c r="H35" i="1" s="1"/>
  <c r="D36" i="1" l="1"/>
  <c r="I35" i="1"/>
  <c r="C67" i="1"/>
  <c r="B68" i="1"/>
  <c r="F36" i="1" l="1"/>
  <c r="G36" i="1"/>
  <c r="C68" i="1"/>
  <c r="B69" i="1"/>
  <c r="E36" i="1"/>
  <c r="H36" i="1" s="1"/>
  <c r="C69" i="1" l="1"/>
  <c r="B70" i="1"/>
  <c r="I36" i="1"/>
  <c r="D37" i="1"/>
  <c r="F37" i="1" l="1"/>
  <c r="G37" i="1"/>
  <c r="C70" i="1"/>
  <c r="B71" i="1"/>
  <c r="E37" i="1"/>
  <c r="H37" i="1" l="1"/>
  <c r="I37" i="1" s="1"/>
  <c r="D38" i="1"/>
  <c r="B72" i="1"/>
  <c r="C71" i="1"/>
  <c r="G38" i="1" l="1"/>
  <c r="F38" i="1"/>
  <c r="B73" i="1"/>
  <c r="C72" i="1"/>
  <c r="E38" i="1"/>
  <c r="H38" i="1" l="1"/>
  <c r="I38" i="1" s="1"/>
  <c r="D39" i="1"/>
  <c r="C73" i="1"/>
  <c r="B74" i="1"/>
  <c r="G39" i="1" l="1"/>
  <c r="F39" i="1"/>
  <c r="B75" i="1"/>
  <c r="C74" i="1"/>
  <c r="E39" i="1"/>
  <c r="H39" i="1" l="1"/>
  <c r="I39" i="1" s="1"/>
  <c r="B76" i="1"/>
  <c r="C75" i="1"/>
  <c r="D40" i="1" l="1"/>
  <c r="E40" i="1" s="1"/>
  <c r="C76" i="1"/>
  <c r="B77" i="1"/>
  <c r="G40" i="1"/>
  <c r="F40" i="1"/>
  <c r="H40" i="1" l="1"/>
  <c r="D41" i="1" s="1"/>
  <c r="C77" i="1"/>
  <c r="B78" i="1"/>
  <c r="I40" i="1" l="1"/>
  <c r="C78" i="1"/>
  <c r="E41" i="1"/>
  <c r="G41" i="1"/>
  <c r="F41" i="1"/>
  <c r="H41" i="1" l="1"/>
  <c r="I41" i="1" s="1"/>
  <c r="D42" i="1" l="1"/>
  <c r="E42" i="1" s="1"/>
  <c r="F42" i="1"/>
  <c r="G42" i="1"/>
  <c r="H42" i="1" l="1"/>
  <c r="D43" i="1" s="1"/>
  <c r="I42" i="1" l="1"/>
  <c r="E43" i="1"/>
  <c r="F43" i="1"/>
  <c r="G43" i="1"/>
  <c r="H43" i="1" l="1"/>
  <c r="D44" i="1" s="1"/>
  <c r="I43" i="1" l="1"/>
  <c r="E44" i="1"/>
  <c r="F44" i="1"/>
  <c r="G44" i="1"/>
  <c r="H44" i="1" l="1"/>
  <c r="I44" i="1" s="1"/>
  <c r="D45" i="1" l="1"/>
  <c r="E45" i="1" s="1"/>
  <c r="F45" i="1"/>
  <c r="G45" i="1"/>
  <c r="H45" i="1" l="1"/>
  <c r="I45" i="1" s="1"/>
  <c r="D46" i="1" l="1"/>
  <c r="E46" i="1" s="1"/>
  <c r="G46" i="1"/>
  <c r="F46" i="1"/>
  <c r="H46" i="1" l="1"/>
  <c r="I46" i="1"/>
  <c r="D47" i="1"/>
  <c r="E47" i="1" l="1"/>
  <c r="F47" i="1"/>
  <c r="G47" i="1"/>
  <c r="H47" i="1" l="1"/>
  <c r="I47" i="1" s="1"/>
  <c r="D48" i="1"/>
  <c r="E48" i="1" l="1"/>
  <c r="F48" i="1"/>
  <c r="H48" i="1" s="1"/>
  <c r="G48" i="1"/>
  <c r="D49" i="1" l="1"/>
  <c r="I48" i="1"/>
  <c r="E49" i="1" l="1"/>
  <c r="F49" i="1"/>
  <c r="G49" i="1"/>
  <c r="H49" i="1" l="1"/>
  <c r="I49" i="1" s="1"/>
  <c r="D50" i="1"/>
  <c r="E50" i="1" l="1"/>
  <c r="F50" i="1"/>
  <c r="H50" i="1" s="1"/>
  <c r="G50" i="1"/>
  <c r="D51" i="1" l="1"/>
  <c r="I50" i="1"/>
  <c r="E51" i="1" l="1"/>
  <c r="F51" i="1"/>
  <c r="H51" i="1" s="1"/>
  <c r="G51" i="1"/>
  <c r="D52" i="1" l="1"/>
  <c r="I51" i="1"/>
  <c r="E52" i="1" l="1"/>
  <c r="F52" i="1"/>
  <c r="G52" i="1"/>
  <c r="H52" i="1" l="1"/>
  <c r="I52" i="1" s="1"/>
  <c r="D53" i="1" l="1"/>
  <c r="E53" i="1"/>
  <c r="G53" i="1"/>
  <c r="F53" i="1"/>
  <c r="H53" i="1" l="1"/>
  <c r="I53" i="1" s="1"/>
  <c r="D54" i="1" l="1"/>
  <c r="E54" i="1"/>
  <c r="G54" i="1"/>
  <c r="F54" i="1"/>
  <c r="H54" i="1" s="1"/>
  <c r="I54" i="1" l="1"/>
  <c r="D55" i="1"/>
  <c r="E55" i="1" l="1"/>
  <c r="G55" i="1"/>
  <c r="F55" i="1"/>
  <c r="H55" i="1" l="1"/>
  <c r="I55" i="1" s="1"/>
  <c r="D56" i="1" l="1"/>
  <c r="E56" i="1"/>
  <c r="G56" i="1"/>
  <c r="F56" i="1"/>
  <c r="H56" i="1" s="1"/>
  <c r="D57" i="1" l="1"/>
  <c r="I56" i="1"/>
  <c r="E57" i="1" l="1"/>
  <c r="F57" i="1"/>
  <c r="G57" i="1"/>
  <c r="H57" i="1" l="1"/>
  <c r="D58" i="1"/>
  <c r="I57" i="1"/>
  <c r="E58" i="1" l="1"/>
  <c r="G58" i="1"/>
  <c r="F58" i="1"/>
  <c r="H58" i="1" s="1"/>
  <c r="D59" i="1" l="1"/>
  <c r="I58" i="1"/>
  <c r="E59" i="1" l="1"/>
  <c r="G59" i="1"/>
  <c r="F59" i="1"/>
  <c r="H59" i="1" s="1"/>
  <c r="D60" i="1" l="1"/>
  <c r="I59" i="1"/>
  <c r="E60" i="1" l="1"/>
  <c r="G60" i="1"/>
  <c r="F60" i="1"/>
  <c r="H60" i="1" l="1"/>
  <c r="I60" i="1" s="1"/>
  <c r="D61" i="1" l="1"/>
  <c r="E61" i="1" s="1"/>
  <c r="G61" i="1"/>
  <c r="F61" i="1"/>
  <c r="H61" i="1" l="1"/>
  <c r="I61" i="1" s="1"/>
  <c r="D62" i="1" l="1"/>
  <c r="E62" i="1" s="1"/>
  <c r="G62" i="1"/>
  <c r="F62" i="1"/>
  <c r="H62" i="1" l="1"/>
  <c r="I62" i="1" s="1"/>
  <c r="D63" i="1" l="1"/>
  <c r="E63" i="1" s="1"/>
  <c r="G63" i="1"/>
  <c r="F63" i="1"/>
  <c r="H63" i="1" l="1"/>
  <c r="D64" i="1" s="1"/>
  <c r="I63" i="1" l="1"/>
  <c r="E64" i="1"/>
  <c r="G64" i="1"/>
  <c r="F64" i="1"/>
  <c r="H64" i="1" l="1"/>
  <c r="I64" i="1" s="1"/>
  <c r="D65" i="1"/>
  <c r="E65" i="1" l="1"/>
  <c r="G65" i="1"/>
  <c r="F65" i="1"/>
  <c r="H65" i="1" l="1"/>
  <c r="D66" i="1" s="1"/>
  <c r="I65" i="1"/>
  <c r="E66" i="1" l="1"/>
  <c r="G66" i="1"/>
  <c r="F66" i="1"/>
  <c r="H66" i="1" s="1"/>
  <c r="D67" i="1" l="1"/>
  <c r="I66" i="1"/>
  <c r="E67" i="1" l="1"/>
  <c r="F67" i="1"/>
  <c r="H67" i="1" s="1"/>
  <c r="G67" i="1"/>
  <c r="I67" i="1" l="1"/>
  <c r="D68" i="1"/>
  <c r="E68" i="1" l="1"/>
  <c r="G68" i="1"/>
  <c r="F68" i="1"/>
  <c r="H68" i="1" s="1"/>
  <c r="D69" i="1" l="1"/>
  <c r="I68" i="1"/>
  <c r="E69" i="1" l="1"/>
  <c r="G69" i="1"/>
  <c r="F69" i="1"/>
  <c r="H69" i="1" s="1"/>
  <c r="D70" i="1" l="1"/>
  <c r="I69" i="1"/>
  <c r="E70" i="1" l="1"/>
  <c r="F70" i="1"/>
  <c r="H70" i="1" s="1"/>
  <c r="G70" i="1"/>
  <c r="I70" i="1" l="1"/>
  <c r="D71" i="1"/>
  <c r="E71" i="1" l="1"/>
  <c r="F71" i="1"/>
  <c r="G71" i="1"/>
  <c r="H71" i="1" l="1"/>
  <c r="D72" i="1" s="1"/>
  <c r="I71" i="1" l="1"/>
  <c r="E72" i="1"/>
  <c r="G72" i="1"/>
  <c r="F72" i="1"/>
  <c r="H72" i="1" l="1"/>
  <c r="I72" i="1" s="1"/>
  <c r="D73" i="1" l="1"/>
  <c r="E73" i="1" s="1"/>
  <c r="F73" i="1"/>
  <c r="G73" i="1"/>
  <c r="H73" i="1" l="1"/>
  <c r="D74" i="1" s="1"/>
  <c r="I73" i="1" l="1"/>
  <c r="E74" i="1"/>
  <c r="G74" i="1"/>
  <c r="F74" i="1"/>
  <c r="H74" i="1" s="1"/>
  <c r="D75" i="1" l="1"/>
  <c r="I74" i="1"/>
  <c r="E75" i="1" l="1"/>
  <c r="G75" i="1"/>
  <c r="F75" i="1"/>
  <c r="H75" i="1" l="1"/>
  <c r="I75" i="1" s="1"/>
  <c r="D76" i="1" l="1"/>
  <c r="E76" i="1"/>
  <c r="G76" i="1"/>
  <c r="F76" i="1"/>
  <c r="H76" i="1" l="1"/>
  <c r="I76" i="1" s="1"/>
  <c r="D77" i="1" l="1"/>
  <c r="E77" i="1" s="1"/>
  <c r="G77" i="1"/>
  <c r="F77" i="1"/>
  <c r="H77" i="1" l="1"/>
  <c r="D78" i="1" s="1"/>
  <c r="I77" i="1"/>
  <c r="E78" i="1" l="1"/>
  <c r="F78" i="1"/>
  <c r="H78" i="1" s="1"/>
  <c r="I78" i="1" s="1"/>
  <c r="G78" i="1"/>
</calcChain>
</file>

<file path=xl/sharedStrings.xml><?xml version="1.0" encoding="utf-8"?>
<sst xmlns="http://schemas.openxmlformats.org/spreadsheetml/2006/main" count="29" uniqueCount="26">
  <si>
    <t>Retirement Age</t>
  </si>
  <si>
    <t>Starting Portfolio</t>
  </si>
  <si>
    <t>Annual Contribution</t>
  </si>
  <si>
    <t>Expected Return Rate</t>
  </si>
  <si>
    <t>Withdrawal Rate (%)</t>
  </si>
  <si>
    <t>Inflation Rate (%)</t>
  </si>
  <si>
    <t>Current Age</t>
  </si>
  <si>
    <t>Age</t>
  </si>
  <si>
    <t>Expected Return (%)</t>
  </si>
  <si>
    <t>Withdrawal Rate</t>
  </si>
  <si>
    <t>Inflation Rate</t>
  </si>
  <si>
    <t>Year</t>
  </si>
  <si>
    <t>Return</t>
  </si>
  <si>
    <t>Start Year</t>
  </si>
  <si>
    <t>Start Age</t>
  </si>
  <si>
    <t>Portfolio 
Start</t>
  </si>
  <si>
    <t>Withdrawal (Nominal)</t>
  </si>
  <si>
    <t>Withdrawal (Real)</t>
  </si>
  <si>
    <t>Annual
Contribution</t>
  </si>
  <si>
    <t>Portfolio
Value
(Nominal)</t>
  </si>
  <si>
    <t>Portfolio
Value
(Real)</t>
  </si>
  <si>
    <t>2% Return</t>
  </si>
  <si>
    <t>4% Return</t>
  </si>
  <si>
    <t>6% Return</t>
  </si>
  <si>
    <t>10% Return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</si>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</sst>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1" tint="0.49998474074526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1" xfId="0" applyBorder="1"/>
    <xf numFmtId="0" fontId="0" fillId="2" borderId="2" xfId="0" applyFill="1" applyBorder="1"/>
    <xf numFmtId="0" fontId="0" fillId="0" borderId="3" xfId="0" applyBorder="1"/>
    <xf numFmtId="0" fontId="0" fillId="3" borderId="4" xfId="0" applyFill="1" applyBorder="1"/>
    <xf numFmtId="0" fontId="0" fillId="4" borderId="4" xfId="0" applyFill="1" applyBorder="1"/>
    <xf numFmtId="0" fontId="0" fillId="5" borderId="4" xfId="0" applyFill="1" applyBorder="1"/>
    <xf numFmtId="0" fontId="0" fillId="0" borderId="5" xfId="0" applyBorder="1"/>
    <xf numFmtId="0" fontId="0" fillId="9" borderId="6" xfId="0" applyFill="1" applyBorder="1"/>
    <xf numFmtId="0" fontId="0" fillId="0" borderId="7" xfId="0" applyBorder="1"/>
    <xf numFmtId="2" fontId="0" fillId="6" borderId="4" xfId="0" applyNumberFormat="1" applyFill="1" applyBorder="1"/>
    <xf numFmtId="164" fontId="0" fillId="0" borderId="0" xfId="0" applyNumberFormat="1"/>
    <xf numFmtId="164" fontId="0" fillId="7" borderId="4" xfId="0" applyNumberFormat="1" applyFill="1" applyBorder="1"/>
    <xf numFmtId="164" fontId="0" fillId="8" borderId="4" xfId="0" applyNumberFormat="1" applyFill="1" applyBorder="1"/>
    <xf numFmtId="4" fontId="0" fillId="0" borderId="0" xfId="0" applyNumberFormat="1"/>
    <xf numFmtId="1" fontId="0" fillId="0" borderId="0" xfId="0" applyNumberFormat="1"/>
    <xf numFmtId="0" fontId="2" fillId="0" borderId="0" xfId="0" applyFont="1"/>
    <xf numFmtId="164" fontId="2" fillId="0" borderId="0" xfId="0" applyNumberFormat="1" applyFont="1"/>
    <xf numFmtId="0" fontId="0" fillId="10" borderId="8" xfId="0" applyFill="1" applyBorder="1" applyAlignment="1">
      <alignment vertical="top"/>
    </xf>
    <xf numFmtId="1" fontId="0" fillId="10" borderId="8" xfId="0" applyNumberFormat="1" applyFill="1" applyBorder="1" applyAlignment="1">
      <alignment vertical="top"/>
    </xf>
    <xf numFmtId="4" fontId="0" fillId="10" borderId="8" xfId="0" applyNumberFormat="1" applyFill="1" applyBorder="1" applyAlignment="1">
      <alignment vertical="top" wrapText="1"/>
    </xf>
    <xf numFmtId="4" fontId="0" fillId="10" borderId="8" xfId="0" applyNumberFormat="1" applyFill="1" applyBorder="1" applyAlignment="1">
      <alignment vertical="top"/>
    </xf>
    <xf numFmtId="1" fontId="0" fillId="0" borderId="9" xfId="0" applyNumberFormat="1" applyBorder="1"/>
    <xf numFmtId="1" fontId="0" fillId="0" borderId="10" xfId="0" applyNumberFormat="1" applyBorder="1"/>
    <xf numFmtId="4" fontId="0" fillId="0" borderId="10" xfId="0" applyNumberFormat="1" applyBorder="1"/>
    <xf numFmtId="4" fontId="0" fillId="0" borderId="11" xfId="0" applyNumberFormat="1" applyBorder="1"/>
    <xf numFmtId="4" fontId="0" fillId="0" borderId="12" xfId="0" applyNumberFormat="1" applyBorder="1"/>
    <xf numFmtId="0" fontId="0" fillId="0" borderId="13" xfId="0" applyBorder="1"/>
    <xf numFmtId="1" fontId="0" fillId="0" borderId="14" xfId="0" applyNumberFormat="1" applyBorder="1"/>
    <xf numFmtId="4" fontId="0" fillId="0" borderId="14" xfId="0" applyNumberFormat="1" applyBorder="1"/>
    <xf numFmtId="4" fontId="0" fillId="0" borderId="15" xfId="0" applyNumberFormat="1" applyBorder="1"/>
  </cellXfs>
  <cellStyles count="1">
    <cellStyle name="Normal" xfId="0" builtinId="0"/>
  </cellStyles>
  <dxfs count="20">
    <dxf>
      <numFmt numFmtId="4" formatCode="#,##0.0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4" formatCode="#,##0.0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" formatCode="0"/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border diagonalUp="0" diagonalDown="0">
        <left style="medium">
          <color indexed="64"/>
        </left>
        <right/>
        <top/>
        <bottom/>
        <vertical/>
        <horizontal/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 Growth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DataEngine!$H$1</c:f>
              <c:strCache>
                <c:ptCount val="1"/>
                <c:pt idx="0">
                  <c:v>Portfolio
Value
(Nominal)</c:v>
                </c:pt>
              </c:strCache>
            </c:strRef>
          </c:tx>
          <c:spPr>
            <a:ln w="38100" cap="flat" cmpd="dbl" algn="ctr">
              <a:solidFill>
                <a:schemeClr val="accent2"/>
              </a:solidFill>
              <a:miter lim="800000"/>
            </a:ln>
            <a:effectLst/>
          </c:spPr>
          <c:marker>
            <c:symbol val="none"/>
          </c:marker>
          <c:cat>
            <c:numRef>
              <c:f>DataEngine!$A$2:$A$78</c:f>
              <c:numCache>
                <c:formatCode>General</c:formatCode>
                <c:ptCount val="77"/>
                <c:pt idx="0" formatCode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  <c:pt idx="61">
                  <c:v>2086</c:v>
                </c:pt>
                <c:pt idx="62">
                  <c:v>2087</c:v>
                </c:pt>
                <c:pt idx="63">
                  <c:v>2088</c:v>
                </c:pt>
                <c:pt idx="64">
                  <c:v>2089</c:v>
                </c:pt>
                <c:pt idx="65">
                  <c:v>2090</c:v>
                </c:pt>
                <c:pt idx="66">
                  <c:v>2091</c:v>
                </c:pt>
                <c:pt idx="67">
                  <c:v>2092</c:v>
                </c:pt>
                <c:pt idx="68">
                  <c:v>2093</c:v>
                </c:pt>
                <c:pt idx="69">
                  <c:v>2094</c:v>
                </c:pt>
                <c:pt idx="70">
                  <c:v>2095</c:v>
                </c:pt>
                <c:pt idx="71">
                  <c:v>2096</c:v>
                </c:pt>
                <c:pt idx="72">
                  <c:v>2097</c:v>
                </c:pt>
                <c:pt idx="73">
                  <c:v>2098</c:v>
                </c:pt>
                <c:pt idx="74">
                  <c:v>2099</c:v>
                </c:pt>
                <c:pt idx="75">
                  <c:v>2100</c:v>
                </c:pt>
                <c:pt idx="76">
                  <c:v>2101</c:v>
                </c:pt>
              </c:numCache>
            </c:numRef>
          </c:cat>
          <c:val>
            <c:numRef>
              <c:f>DataEngine!$H$2:$H$78</c:f>
              <c:numCache>
                <c:formatCode>#,##0.00</c:formatCode>
                <c:ptCount val="77"/>
                <c:pt idx="0">
                  <c:v>5545</c:v>
                </c:pt>
                <c:pt idx="1">
                  <c:v>9169.7625000000007</c:v>
                </c:pt>
                <c:pt idx="2">
                  <c:v>12876.08215625</c:v>
                </c:pt>
                <c:pt idx="3">
                  <c:v>16665.794004765627</c:v>
                </c:pt>
                <c:pt idx="4">
                  <c:v>20540.774369872852</c:v>
                </c:pt>
                <c:pt idx="5">
                  <c:v>24502.94179319499</c:v>
                </c:pt>
                <c:pt idx="6">
                  <c:v>28554.257983541876</c:v>
                </c:pt>
                <c:pt idx="7">
                  <c:v>32696.728788171567</c:v>
                </c:pt>
                <c:pt idx="8">
                  <c:v>36932.405185905431</c:v>
                </c:pt>
                <c:pt idx="9">
                  <c:v>41263.384302588303</c:v>
                </c:pt>
                <c:pt idx="10">
                  <c:v>45691.810449396537</c:v>
                </c:pt>
                <c:pt idx="11">
                  <c:v>50219.876184507957</c:v>
                </c:pt>
                <c:pt idx="12">
                  <c:v>54849.823398659384</c:v>
                </c:pt>
                <c:pt idx="13">
                  <c:v>59583.944425129223</c:v>
                </c:pt>
                <c:pt idx="14">
                  <c:v>64424.583174694628</c:v>
                </c:pt>
                <c:pt idx="15">
                  <c:v>69374.136296125245</c:v>
                </c:pt>
                <c:pt idx="16">
                  <c:v>74435.054362788069</c:v>
                </c:pt>
                <c:pt idx="17">
                  <c:v>79609.843085950793</c:v>
                </c:pt>
                <c:pt idx="18">
                  <c:v>84901.064555384684</c:v>
                </c:pt>
                <c:pt idx="19">
                  <c:v>90311.338507880835</c:v>
                </c:pt>
                <c:pt idx="20">
                  <c:v>95843.343624308152</c:v>
                </c:pt>
                <c:pt idx="21">
                  <c:v>101499.81885585509</c:v>
                </c:pt>
                <c:pt idx="22">
                  <c:v>107283.56478011183</c:v>
                </c:pt>
                <c:pt idx="23">
                  <c:v>113197.44498766435</c:v>
                </c:pt>
                <c:pt idx="24">
                  <c:v>119244.3874998868</c:v>
                </c:pt>
                <c:pt idx="25">
                  <c:v>125427.38621863424</c:v>
                </c:pt>
                <c:pt idx="26">
                  <c:v>131749.50240855353</c:v>
                </c:pt>
                <c:pt idx="27">
                  <c:v>138213.86621274598</c:v>
                </c:pt>
                <c:pt idx="28">
                  <c:v>144823.67820253276</c:v>
                </c:pt>
                <c:pt idx="29">
                  <c:v>151582.21096208974</c:v>
                </c:pt>
                <c:pt idx="30">
                  <c:v>158492.81070873677</c:v>
                </c:pt>
                <c:pt idx="31">
                  <c:v>165558.89894968335</c:v>
                </c:pt>
                <c:pt idx="32">
                  <c:v>172783.97417605124</c:v>
                </c:pt>
                <c:pt idx="33">
                  <c:v>180171.6135950124</c:v>
                </c:pt>
                <c:pt idx="34">
                  <c:v>187725.47490090018</c:v>
                </c:pt>
                <c:pt idx="35">
                  <c:v>195449.29808617043</c:v>
                </c:pt>
                <c:pt idx="36">
                  <c:v>188119.94940793904</c:v>
                </c:pt>
                <c:pt idx="37">
                  <c:v>181065.45130514132</c:v>
                </c:pt>
                <c:pt idx="38">
                  <c:v>174275.49688119852</c:v>
                </c:pt>
                <c:pt idx="39">
                  <c:v>167740.16574815358</c:v>
                </c:pt>
                <c:pt idx="40">
                  <c:v>161449.90953259781</c:v>
                </c:pt>
                <c:pt idx="41">
                  <c:v>155395.53792512539</c:v>
                </c:pt>
                <c:pt idx="42">
                  <c:v>149568.20525293317</c:v>
                </c:pt>
                <c:pt idx="43">
                  <c:v>143959.39755594818</c:v>
                </c:pt>
                <c:pt idx="44">
                  <c:v>138560.92014760012</c:v>
                </c:pt>
                <c:pt idx="45">
                  <c:v>133364.88564206511</c:v>
                </c:pt>
                <c:pt idx="46">
                  <c:v>128363.70243048767</c:v>
                </c:pt>
                <c:pt idx="47">
                  <c:v>123550.0635893444</c:v>
                </c:pt>
                <c:pt idx="48">
                  <c:v>118916.93620474399</c:v>
                </c:pt>
                <c:pt idx="49">
                  <c:v>114457.5510970661</c:v>
                </c:pt>
                <c:pt idx="50">
                  <c:v>110165.39293092611</c:v>
                </c:pt>
                <c:pt idx="51">
                  <c:v>106034.19069601638</c:v>
                </c:pt>
                <c:pt idx="52">
                  <c:v>102057.90854491576</c:v>
                </c:pt>
                <c:pt idx="53">
                  <c:v>98230.73697448142</c:v>
                </c:pt>
                <c:pt idx="54">
                  <c:v>94547.084337938359</c:v>
                </c:pt>
                <c:pt idx="55">
                  <c:v>91001.568675265677</c:v>
                </c:pt>
                <c:pt idx="56">
                  <c:v>87589.009849943206</c:v>
                </c:pt>
                <c:pt idx="57">
                  <c:v>84304.421980570332</c:v>
                </c:pt>
                <c:pt idx="58">
                  <c:v>81143.006156298943</c:v>
                </c:pt>
                <c:pt idx="59">
                  <c:v>78100.143425437738</c:v>
                </c:pt>
                <c:pt idx="60">
                  <c:v>75171.388046983819</c:v>
                </c:pt>
                <c:pt idx="61">
                  <c:v>72352.460995221918</c:v>
                </c:pt>
                <c:pt idx="62">
                  <c:v>69639.2437079011</c:v>
                </c:pt>
                <c:pt idx="63">
                  <c:v>67027.7720688548</c:v>
                </c:pt>
                <c:pt idx="64">
                  <c:v>64514.23061627274</c:v>
                </c:pt>
                <c:pt idx="65">
                  <c:v>62094.946968162512</c:v>
                </c:pt>
                <c:pt idx="66">
                  <c:v>59766.386456856417</c:v>
                </c:pt>
                <c:pt idx="67">
                  <c:v>57525.146964724299</c:v>
                </c:pt>
                <c:pt idx="68">
                  <c:v>55367.953953547141</c:v>
                </c:pt>
                <c:pt idx="69">
                  <c:v>53291.655680289128</c:v>
                </c:pt>
                <c:pt idx="70">
                  <c:v>51293.218592278288</c:v>
                </c:pt>
                <c:pt idx="71">
                  <c:v>49369.722895067847</c:v>
                </c:pt>
                <c:pt idx="72">
                  <c:v>47518.3582865028</c:v>
                </c:pt>
                <c:pt idx="73">
                  <c:v>45736.419850758946</c:v>
                </c:pt>
                <c:pt idx="74">
                  <c:v>44021.304106355485</c:v>
                </c:pt>
                <c:pt idx="75">
                  <c:v>42370.505202367152</c:v>
                </c:pt>
                <c:pt idx="76">
                  <c:v>40781.61125727839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69-4D52-864D-4DC244FBAC1E}"/>
            </c:ext>
          </c:extLst>
        </c:ser>
        <c:ser>
          <c:idx val="2"/>
          <c:order val="1"/>
          <c:tx>
            <c:strRef>
              <c:f>DataEngine!$I$1</c:f>
              <c:strCache>
                <c:ptCount val="1"/>
                <c:pt idx="0">
                  <c:v>Portfolio
Value
(Real)</c:v>
                </c:pt>
              </c:strCache>
            </c:strRef>
          </c:tx>
          <c:spPr>
            <a:ln w="38100" cap="flat" cmpd="dbl" algn="ctr">
              <a:solidFill>
                <a:schemeClr val="accent3"/>
              </a:solidFill>
              <a:miter lim="800000"/>
            </a:ln>
            <a:effectLst/>
          </c:spPr>
          <c:marker>
            <c:symbol val="none"/>
          </c:marker>
          <c:cat>
            <c:numRef>
              <c:f>DataEngine!$A$2:$A$78</c:f>
              <c:numCache>
                <c:formatCode>General</c:formatCode>
                <c:ptCount val="77"/>
                <c:pt idx="0" formatCode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  <c:pt idx="61">
                  <c:v>2086</c:v>
                </c:pt>
                <c:pt idx="62">
                  <c:v>2087</c:v>
                </c:pt>
                <c:pt idx="63">
                  <c:v>2088</c:v>
                </c:pt>
                <c:pt idx="64">
                  <c:v>2089</c:v>
                </c:pt>
                <c:pt idx="65">
                  <c:v>2090</c:v>
                </c:pt>
                <c:pt idx="66">
                  <c:v>2091</c:v>
                </c:pt>
                <c:pt idx="67">
                  <c:v>2092</c:v>
                </c:pt>
                <c:pt idx="68">
                  <c:v>2093</c:v>
                </c:pt>
                <c:pt idx="69">
                  <c:v>2094</c:v>
                </c:pt>
                <c:pt idx="70">
                  <c:v>2095</c:v>
                </c:pt>
                <c:pt idx="71">
                  <c:v>2096</c:v>
                </c:pt>
                <c:pt idx="72">
                  <c:v>2097</c:v>
                </c:pt>
                <c:pt idx="73">
                  <c:v>2098</c:v>
                </c:pt>
                <c:pt idx="74">
                  <c:v>2099</c:v>
                </c:pt>
                <c:pt idx="75">
                  <c:v>2100</c:v>
                </c:pt>
                <c:pt idx="76">
                  <c:v>2101</c:v>
                </c:pt>
              </c:numCache>
            </c:numRef>
          </c:cat>
          <c:val>
            <c:numRef>
              <c:f>DataEngine!$I$2:$I$78</c:f>
              <c:numCache>
                <c:formatCode>#,##0.00</c:formatCode>
                <c:ptCount val="77"/>
                <c:pt idx="0">
                  <c:v>5545</c:v>
                </c:pt>
                <c:pt idx="1">
                  <c:v>8967.9828850855756</c:v>
                </c:pt>
                <c:pt idx="2">
                  <c:v>12315.643408396652</c:v>
                </c:pt>
                <c:pt idx="3">
                  <c:v>15589.639030216777</c:v>
                </c:pt>
                <c:pt idx="4">
                  <c:v>18791.590738598316</c:v>
                </c:pt>
                <c:pt idx="5">
                  <c:v>21923.083851929892</c:v>
                </c:pt>
                <c:pt idx="6">
                  <c:v>24985.668803843415</c:v>
                </c:pt>
                <c:pt idx="7">
                  <c:v>27980.861910849311</c:v>
                </c:pt>
                <c:pt idx="8">
                  <c:v>30910.146123080016</c:v>
                </c:pt>
                <c:pt idx="9">
                  <c:v>33774.971758513471</c:v>
                </c:pt>
                <c:pt idx="10">
                  <c:v>36576.757221040069</c:v>
                </c:pt>
                <c:pt idx="11">
                  <c:v>39316.88970272868</c:v>
                </c:pt>
                <c:pt idx="12">
                  <c:v>41996.725870639297</c:v>
                </c:pt>
                <c:pt idx="13">
                  <c:v>44617.592538522542</c:v>
                </c:pt>
                <c:pt idx="14">
                  <c:v>47180.787323738426</c:v>
                </c:pt>
                <c:pt idx="15">
                  <c:v>49687.579289719732</c:v>
                </c:pt>
                <c:pt idx="16">
                  <c:v>52139.209574298045</c:v>
                </c:pt>
                <c:pt idx="17">
                  <c:v>54536.892004203466</c:v>
                </c:pt>
                <c:pt idx="18">
                  <c:v>56881.813696042518</c:v>
                </c:pt>
                <c:pt idx="19">
                  <c:v>59175.135644051363</c:v>
                </c:pt>
                <c:pt idx="20">
                  <c:v>61417.993294915759</c:v>
                </c:pt>
                <c:pt idx="21">
                  <c:v>63611.497109942073</c:v>
                </c:pt>
                <c:pt idx="22">
                  <c:v>65756.73311485778</c:v>
                </c:pt>
                <c:pt idx="23">
                  <c:v>67854.763437513742</c:v>
                </c:pt>
                <c:pt idx="24">
                  <c:v>69906.626833754272</c:v>
                </c:pt>
                <c:pt idx="25">
                  <c:v>71913.339201715688</c:v>
                </c:pt>
                <c:pt idx="26">
                  <c:v>73875.894084807529</c:v>
                </c:pt>
                <c:pt idx="27">
                  <c:v>75795.263163625961</c:v>
                </c:pt>
                <c:pt idx="28">
                  <c:v>77672.396737042494</c:v>
                </c:pt>
                <c:pt idx="29">
                  <c:v>79508.224192706606</c:v>
                </c:pt>
                <c:pt idx="30">
                  <c:v>81303.654467194734</c:v>
                </c:pt>
                <c:pt idx="31">
                  <c:v>83059.576496033987</c:v>
                </c:pt>
                <c:pt idx="32">
                  <c:v>84776.859653823005</c:v>
                </c:pt>
                <c:pt idx="33">
                  <c:v>86456.354184667987</c:v>
                </c:pt>
                <c:pt idx="34">
                  <c:v>88098.891623147196</c:v>
                </c:pt>
                <c:pt idx="35">
                  <c:v>89705.285206011933</c:v>
                </c:pt>
                <c:pt idx="36">
                  <c:v>84441.405389522246</c:v>
                </c:pt>
                <c:pt idx="37">
                  <c:v>79486.40849624954</c:v>
                </c:pt>
                <c:pt idx="38">
                  <c:v>74822.169366885253</c:v>
                </c:pt>
                <c:pt idx="39">
                  <c:v>70431.626421151173</c:v>
                </c:pt>
                <c:pt idx="40">
                  <c:v>66298.719247293891</c:v>
                </c:pt>
                <c:pt idx="41">
                  <c:v>62408.329853809664</c:v>
                </c:pt>
                <c:pt idx="42">
                  <c:v>58746.227368500542</c:v>
                </c:pt>
                <c:pt idx="43">
                  <c:v>55299.015982573859</c:v>
                </c:pt>
                <c:pt idx="44">
                  <c:v>52054.085949366585</c:v>
                </c:pt>
                <c:pt idx="45">
                  <c:v>48999.567458450212</c:v>
                </c:pt>
                <c:pt idx="46">
                  <c:v>46124.287216389566</c:v>
                </c:pt>
                <c:pt idx="47">
                  <c:v>43417.727575330035</c:v>
                </c:pt>
                <c:pt idx="48">
                  <c:v>40869.988059907264</c:v>
                </c:pt>
                <c:pt idx="49">
                  <c:v>38471.749151746444</c:v>
                </c:pt>
                <c:pt idx="50">
                  <c:v>36214.238199076739</c:v>
                </c:pt>
                <c:pt idx="51">
                  <c:v>34089.197326759269</c:v>
                </c:pt>
                <c:pt idx="52">
                  <c:v>32088.853229345521</c:v>
                </c:pt>
                <c:pt idx="53">
                  <c:v>30205.888736669989</c:v>
                </c:pt>
                <c:pt idx="54">
                  <c:v>28433.416047965638</c:v>
                </c:pt>
                <c:pt idx="55">
                  <c:v>26764.951536593577</c:v>
                </c:pt>
                <c:pt idx="56">
                  <c:v>25194.392033223779</c:v>
                </c:pt>
                <c:pt idx="57">
                  <c:v>23715.992500711876</c:v>
                </c:pt>
                <c:pt idx="58">
                  <c:v>22324.345019007509</c:v>
                </c:pt>
                <c:pt idx="59">
                  <c:v>21014.359003222235</c:v>
                </c:pt>
                <c:pt idx="60">
                  <c:v>19781.242582495252</c:v>
                </c:pt>
                <c:pt idx="61">
                  <c:v>18620.485071541985</c:v>
                </c:pt>
                <c:pt idx="62">
                  <c:v>17527.840470766907</c:v>
                </c:pt>
                <c:pt idx="63">
                  <c:v>16499.311934584985</c:v>
                </c:pt>
                <c:pt idx="64">
                  <c:v>15531.137151137456</c:v>
                </c:pt>
                <c:pt idx="65">
                  <c:v>14619.774579921566</c:v>
                </c:pt>
                <c:pt idx="66">
                  <c:v>13761.890496992186</c:v>
                </c:pt>
                <c:pt idx="67">
                  <c:v>12954.346800347168</c:v>
                </c:pt>
                <c:pt idx="68">
                  <c:v>12194.189530889143</c:v>
                </c:pt>
                <c:pt idx="69">
                  <c:v>11478.638066973888</c:v>
                </c:pt>
                <c:pt idx="70">
                  <c:v>10805.074953019432</c:v>
                </c:pt>
                <c:pt idx="71">
                  <c:v>10171.036324969391</c:v>
                </c:pt>
                <c:pt idx="72">
                  <c:v>9574.2028975873254</c:v>
                </c:pt>
                <c:pt idx="73">
                  <c:v>9012.3914806139874</c:v>
                </c:pt>
                <c:pt idx="74">
                  <c:v>8483.546992753998</c:v>
                </c:pt>
                <c:pt idx="75">
                  <c:v>7985.7349442794366</c:v>
                </c:pt>
                <c:pt idx="76">
                  <c:v>7517.1343607520375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69-4D52-864D-4DC244FBA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894304"/>
        <c:axId val="1163877984"/>
      </c:lineChart>
      <c:catAx>
        <c:axId val="116389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in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877984"/>
        <c:crosses val="autoZero"/>
        <c:auto val="1"/>
        <c:lblAlgn val="ctr"/>
        <c:lblOffset val="100"/>
        <c:tickLblSkip val="10"/>
        <c:tickMarkSkip val="1"/>
        <c:noMultiLvlLbl val="0"/>
      </c:catAx>
      <c:valAx>
        <c:axId val="116387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 Value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,&quot;K&quot;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894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 Growth for Different Return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2% Return</c:v>
          </c:tx>
          <c:spPr>
            <a:ln w="38100" cap="flat" cmpd="dbl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DataEngine!$A$2:$A$78</c:f>
              <c:numCache>
                <c:formatCode>General</c:formatCode>
                <c:ptCount val="77"/>
                <c:pt idx="0" formatCode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  <c:pt idx="61">
                  <c:v>2086</c:v>
                </c:pt>
                <c:pt idx="62">
                  <c:v>2087</c:v>
                </c:pt>
                <c:pt idx="63">
                  <c:v>2088</c:v>
                </c:pt>
                <c:pt idx="64">
                  <c:v>2089</c:v>
                </c:pt>
                <c:pt idx="65">
                  <c:v>2090</c:v>
                </c:pt>
                <c:pt idx="66">
                  <c:v>2091</c:v>
                </c:pt>
                <c:pt idx="67">
                  <c:v>2092</c:v>
                </c:pt>
                <c:pt idx="68">
                  <c:v>2093</c:v>
                </c:pt>
                <c:pt idx="69">
                  <c:v>2094</c:v>
                </c:pt>
                <c:pt idx="70">
                  <c:v>2095</c:v>
                </c:pt>
                <c:pt idx="71">
                  <c:v>2096</c:v>
                </c:pt>
                <c:pt idx="72">
                  <c:v>2097</c:v>
                </c:pt>
                <c:pt idx="73">
                  <c:v>2098</c:v>
                </c:pt>
                <c:pt idx="74">
                  <c:v>2099</c:v>
                </c:pt>
                <c:pt idx="75">
                  <c:v>2100</c:v>
                </c:pt>
                <c:pt idx="76">
                  <c:v>2101</c:v>
                </c:pt>
              </c:numCache>
            </c:numRef>
          </c:cat>
          <c:val>
            <c:numRef>
              <c:f>DataEngine!$O$2:$O$78</c:f>
              <c:numCache>
                <c:formatCode>#,##0.00</c:formatCode>
                <c:ptCount val="77"/>
                <c:pt idx="0">
                  <c:v>3020</c:v>
                </c:pt>
                <c:pt idx="1">
                  <c:v>5080.3999999999996</c:v>
                </c:pt>
                <c:pt idx="2">
                  <c:v>7182.0079999999998</c:v>
                </c:pt>
                <c:pt idx="3">
                  <c:v>9325.6481600000006</c:v>
                </c:pt>
                <c:pt idx="4">
                  <c:v>11512.161123200001</c:v>
                </c:pt>
                <c:pt idx="5">
                  <c:v>13742.404345664001</c:v>
                </c:pt>
                <c:pt idx="6">
                  <c:v>16017.252432577281</c:v>
                </c:pt>
                <c:pt idx="7">
                  <c:v>18337.59748122883</c:v>
                </c:pt>
                <c:pt idx="8">
                  <c:v>20704.349430853406</c:v>
                </c:pt>
                <c:pt idx="9">
                  <c:v>23118.436419470476</c:v>
                </c:pt>
                <c:pt idx="10">
                  <c:v>25580.805147859886</c:v>
                </c:pt>
                <c:pt idx="11">
                  <c:v>28092.421250817086</c:v>
                </c:pt>
                <c:pt idx="12">
                  <c:v>30654.269675833428</c:v>
                </c:pt>
                <c:pt idx="13">
                  <c:v>33267.355069350095</c:v>
                </c:pt>
                <c:pt idx="14">
                  <c:v>35932.702170737095</c:v>
                </c:pt>
                <c:pt idx="15">
                  <c:v>38651.356214151834</c:v>
                </c:pt>
                <c:pt idx="16">
                  <c:v>41424.383338434869</c:v>
                </c:pt>
                <c:pt idx="17">
                  <c:v>44252.871005203568</c:v>
                </c:pt>
                <c:pt idx="18">
                  <c:v>47137.92842530764</c:v>
                </c:pt>
                <c:pt idx="19">
                  <c:v>50080.68699381379</c:v>
                </c:pt>
                <c:pt idx="20">
                  <c:v>53082.300733690063</c:v>
                </c:pt>
                <c:pt idx="21">
                  <c:v>56143.946748363865</c:v>
                </c:pt>
                <c:pt idx="22">
                  <c:v>59266.825683331146</c:v>
                </c:pt>
                <c:pt idx="23">
                  <c:v>62452.162196997771</c:v>
                </c:pt>
                <c:pt idx="24">
                  <c:v>65701.205440937731</c:v>
                </c:pt>
                <c:pt idx="25">
                  <c:v>69015.229549756492</c:v>
                </c:pt>
                <c:pt idx="26">
                  <c:v>72395.534140751624</c:v>
                </c:pt>
                <c:pt idx="27">
                  <c:v>75843.44482356665</c:v>
                </c:pt>
                <c:pt idx="28">
                  <c:v>79360.313720037986</c:v>
                </c:pt>
                <c:pt idx="29">
                  <c:v>82947.519994438742</c:v>
                </c:pt>
                <c:pt idx="30">
                  <c:v>86606.470394327524</c:v>
                </c:pt>
                <c:pt idx="31">
                  <c:v>90338.59980221407</c:v>
                </c:pt>
                <c:pt idx="32">
                  <c:v>94145.371798258348</c:v>
                </c:pt>
                <c:pt idx="33">
                  <c:v>98028.279234223519</c:v>
                </c:pt>
                <c:pt idx="34">
                  <c:v>101988.84481890799</c:v>
                </c:pt>
                <c:pt idx="35">
                  <c:v>106028.62171528615</c:v>
                </c:pt>
                <c:pt idx="36">
                  <c:v>110149.19414959187</c:v>
                </c:pt>
                <c:pt idx="37">
                  <c:v>114352.17803258372</c:v>
                </c:pt>
                <c:pt idx="38">
                  <c:v>109778.09091128036</c:v>
                </c:pt>
                <c:pt idx="39">
                  <c:v>105386.96727482915</c:v>
                </c:pt>
                <c:pt idx="40">
                  <c:v>101171.48858383598</c:v>
                </c:pt>
                <c:pt idx="41">
                  <c:v>97124.629040482541</c:v>
                </c:pt>
                <c:pt idx="42">
                  <c:v>93239.643878863237</c:v>
                </c:pt>
                <c:pt idx="43">
                  <c:v>89510.058123708703</c:v>
                </c:pt>
                <c:pt idx="44">
                  <c:v>85929.655798760359</c:v>
                </c:pt>
                <c:pt idx="45">
                  <c:v>82492.469566809945</c:v>
                </c:pt>
                <c:pt idx="46">
                  <c:v>79192.770784137552</c:v>
                </c:pt>
                <c:pt idx="47">
                  <c:v>76025.059952772048</c:v>
                </c:pt>
                <c:pt idx="48">
                  <c:v>72984.057554661165</c:v>
                </c:pt>
                <c:pt idx="49">
                  <c:v>70064.695252474718</c:v>
                </c:pt>
                <c:pt idx="50">
                  <c:v>67262.107442375724</c:v>
                </c:pt>
                <c:pt idx="51">
                  <c:v>64571.623144680692</c:v>
                </c:pt>
                <c:pt idx="52">
                  <c:v>61988.758218893468</c:v>
                </c:pt>
                <c:pt idx="53">
                  <c:v>59509.207890137732</c:v>
                </c:pt>
                <c:pt idx="54">
                  <c:v>57128.83957453222</c:v>
                </c:pt>
                <c:pt idx="55">
                  <c:v>54843.685991550934</c:v>
                </c:pt>
                <c:pt idx="56">
                  <c:v>52649.938551888896</c:v>
                </c:pt>
                <c:pt idx="57">
                  <c:v>50543.941009813338</c:v>
                </c:pt>
                <c:pt idx="58">
                  <c:v>48522.183369420804</c:v>
                </c:pt>
                <c:pt idx="59">
                  <c:v>46581.296034643972</c:v>
                </c:pt>
                <c:pt idx="60">
                  <c:v>44718.044193258218</c:v>
                </c:pt>
                <c:pt idx="61">
                  <c:v>42929.322425527891</c:v>
                </c:pt>
                <c:pt idx="62">
                  <c:v>41212.149528506772</c:v>
                </c:pt>
                <c:pt idx="63">
                  <c:v>39563.663547366501</c:v>
                </c:pt>
                <c:pt idx="64">
                  <c:v>37981.117005471839</c:v>
                </c:pt>
                <c:pt idx="65">
                  <c:v>36461.872325252967</c:v>
                </c:pt>
                <c:pt idx="66">
                  <c:v>35003.397432242848</c:v>
                </c:pt>
                <c:pt idx="67">
                  <c:v>33603.261534953133</c:v>
                </c:pt>
                <c:pt idx="68">
                  <c:v>32259.131073555007</c:v>
                </c:pt>
                <c:pt idx="69">
                  <c:v>30968.765830612811</c:v>
                </c:pt>
                <c:pt idx="70">
                  <c:v>29730.015197388297</c:v>
                </c:pt>
                <c:pt idx="71">
                  <c:v>28540.814589492766</c:v>
                </c:pt>
                <c:pt idx="72">
                  <c:v>27399.182005913055</c:v>
                </c:pt>
                <c:pt idx="73">
                  <c:v>26303.214725676535</c:v>
                </c:pt>
                <c:pt idx="74">
                  <c:v>25251.086136649472</c:v>
                </c:pt>
                <c:pt idx="75">
                  <c:v>24241.042691183491</c:v>
                </c:pt>
                <c:pt idx="76">
                  <c:v>23271.40098353615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50-42E6-9985-2DE7C269F4B5}"/>
            </c:ext>
          </c:extLst>
        </c:ser>
        <c:ser>
          <c:idx val="1"/>
          <c:order val="1"/>
          <c:tx>
            <c:v>4% Return</c:v>
          </c:tx>
          <c:spPr>
            <a:ln w="38100" cap="flat" cmpd="dbl" algn="ctr">
              <a:solidFill>
                <a:schemeClr val="accent2"/>
              </a:solidFill>
              <a:miter lim="800000"/>
            </a:ln>
            <a:effectLst/>
          </c:spPr>
          <c:marker>
            <c:symbol val="none"/>
          </c:marker>
          <c:val>
            <c:numRef>
              <c:f>DataEngine!$P$2:$P$78</c:f>
              <c:numCache>
                <c:formatCode>#,##0.00</c:formatCode>
                <c:ptCount val="77"/>
                <c:pt idx="0">
                  <c:v>3040</c:v>
                </c:pt>
                <c:pt idx="1">
                  <c:v>5161.6000000000004</c:v>
                </c:pt>
                <c:pt idx="2">
                  <c:v>7368.0640000000003</c:v>
                </c:pt>
                <c:pt idx="3">
                  <c:v>9662.7865600000005</c:v>
                </c:pt>
                <c:pt idx="4">
                  <c:v>12049.2980224</c:v>
                </c:pt>
                <c:pt idx="5">
                  <c:v>14531.269943296</c:v>
                </c:pt>
                <c:pt idx="6">
                  <c:v>17112.520741027838</c:v>
                </c:pt>
                <c:pt idx="7">
                  <c:v>19797.021570668952</c:v>
                </c:pt>
                <c:pt idx="8">
                  <c:v>22588.90243349571</c:v>
                </c:pt>
                <c:pt idx="9">
                  <c:v>25492.458530835538</c:v>
                </c:pt>
                <c:pt idx="10">
                  <c:v>28512.156872068961</c:v>
                </c:pt>
                <c:pt idx="11">
                  <c:v>31652.643146951719</c:v>
                </c:pt>
                <c:pt idx="12">
                  <c:v>34918.74887282979</c:v>
                </c:pt>
                <c:pt idx="13">
                  <c:v>38315.49882774298</c:v>
                </c:pt>
                <c:pt idx="14">
                  <c:v>41848.118780852703</c:v>
                </c:pt>
                <c:pt idx="15">
                  <c:v>45522.043532086813</c:v>
                </c:pt>
                <c:pt idx="16">
                  <c:v>49342.925273370289</c:v>
                </c:pt>
                <c:pt idx="17">
                  <c:v>53316.642284305097</c:v>
                </c:pt>
                <c:pt idx="18">
                  <c:v>57449.3079756773</c:v>
                </c:pt>
                <c:pt idx="19">
                  <c:v>61747.280294704389</c:v>
                </c:pt>
                <c:pt idx="20">
                  <c:v>66217.171506492567</c:v>
                </c:pt>
                <c:pt idx="21">
                  <c:v>70865.858366752276</c:v>
                </c:pt>
                <c:pt idx="22">
                  <c:v>75700.492701422365</c:v>
                </c:pt>
                <c:pt idx="23">
                  <c:v>80728.512409479255</c:v>
                </c:pt>
                <c:pt idx="24">
                  <c:v>85957.652905858427</c:v>
                </c:pt>
                <c:pt idx="25">
                  <c:v>91395.959022092764</c:v>
                </c:pt>
                <c:pt idx="26">
                  <c:v>97051.797382976481</c:v>
                </c:pt>
                <c:pt idx="27">
                  <c:v>102933.86927829555</c:v>
                </c:pt>
                <c:pt idx="28">
                  <c:v>109051.22404942737</c:v>
                </c:pt>
                <c:pt idx="29">
                  <c:v>115413.27301140447</c:v>
                </c:pt>
                <c:pt idx="30">
                  <c:v>122029.80393186065</c:v>
                </c:pt>
                <c:pt idx="31">
                  <c:v>128910.99608913508</c:v>
                </c:pt>
                <c:pt idx="32">
                  <c:v>136067.43593270049</c:v>
                </c:pt>
                <c:pt idx="33">
                  <c:v>143510.13337000852</c:v>
                </c:pt>
                <c:pt idx="34">
                  <c:v>151250.53870480886</c:v>
                </c:pt>
                <c:pt idx="35">
                  <c:v>159300.56025300123</c:v>
                </c:pt>
                <c:pt idx="36">
                  <c:v>167672.58266312128</c:v>
                </c:pt>
                <c:pt idx="37">
                  <c:v>176379.48596964614</c:v>
                </c:pt>
                <c:pt idx="38">
                  <c:v>172851.89625025322</c:v>
                </c:pt>
                <c:pt idx="39">
                  <c:v>169394.85832524815</c:v>
                </c:pt>
                <c:pt idx="40">
                  <c:v>166006.96115874319</c:v>
                </c:pt>
                <c:pt idx="41">
                  <c:v>162686.82193556832</c:v>
                </c:pt>
                <c:pt idx="42">
                  <c:v>159433.08549685695</c:v>
                </c:pt>
                <c:pt idx="43">
                  <c:v>156244.4237869198</c:v>
                </c:pt>
                <c:pt idx="44">
                  <c:v>153119.53531118139</c:v>
                </c:pt>
                <c:pt idx="45">
                  <c:v>150057.14460495775</c:v>
                </c:pt>
                <c:pt idx="46">
                  <c:v>147056.00171285862</c:v>
                </c:pt>
                <c:pt idx="47">
                  <c:v>144114.88167860144</c:v>
                </c:pt>
                <c:pt idx="48">
                  <c:v>141232.58404502942</c:v>
                </c:pt>
                <c:pt idx="49">
                  <c:v>138407.93236412882</c:v>
                </c:pt>
                <c:pt idx="50">
                  <c:v>135639.77371684625</c:v>
                </c:pt>
                <c:pt idx="51">
                  <c:v>132926.9782425093</c:v>
                </c:pt>
                <c:pt idx="52">
                  <c:v>130268.43867765911</c:v>
                </c:pt>
                <c:pt idx="53">
                  <c:v>127663.06990410594</c:v>
                </c:pt>
                <c:pt idx="54">
                  <c:v>125109.80850602382</c:v>
                </c:pt>
                <c:pt idx="55">
                  <c:v>122607.61233590335</c:v>
                </c:pt>
                <c:pt idx="56">
                  <c:v>120155.46008918529</c:v>
                </c:pt>
                <c:pt idx="57">
                  <c:v>117752.35088740158</c:v>
                </c:pt>
                <c:pt idx="58">
                  <c:v>115397.30386965355</c:v>
                </c:pt>
                <c:pt idx="59">
                  <c:v>113089.35779226047</c:v>
                </c:pt>
                <c:pt idx="60">
                  <c:v>110827.57063641527</c:v>
                </c:pt>
                <c:pt idx="61">
                  <c:v>108611.01922368696</c:v>
                </c:pt>
                <c:pt idx="62">
                  <c:v>106438.79883921322</c:v>
                </c:pt>
                <c:pt idx="63">
                  <c:v>104310.02286242896</c:v>
                </c:pt>
                <c:pt idx="64">
                  <c:v>102223.82240518038</c:v>
                </c:pt>
                <c:pt idx="65">
                  <c:v>100179.34595707679</c:v>
                </c:pt>
                <c:pt idx="66">
                  <c:v>98175.759037935248</c:v>
                </c:pt>
                <c:pt idx="67">
                  <c:v>96212.243857176538</c:v>
                </c:pt>
                <c:pt idx="68">
                  <c:v>94287.998980033008</c:v>
                </c:pt>
                <c:pt idx="69">
                  <c:v>92402.239000432353</c:v>
                </c:pt>
                <c:pt idx="70">
                  <c:v>90554.194220423713</c:v>
                </c:pt>
                <c:pt idx="71">
                  <c:v>88743.110336015234</c:v>
                </c:pt>
                <c:pt idx="72">
                  <c:v>86968.248129294923</c:v>
                </c:pt>
                <c:pt idx="73">
                  <c:v>85228.883166709027</c:v>
                </c:pt>
                <c:pt idx="74">
                  <c:v>83524.305503374853</c:v>
                </c:pt>
                <c:pt idx="75">
                  <c:v>81853.819393307349</c:v>
                </c:pt>
                <c:pt idx="76">
                  <c:v>80216.743005441196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50-42E6-9985-2DE7C269F4B5}"/>
            </c:ext>
          </c:extLst>
        </c:ser>
        <c:ser>
          <c:idx val="2"/>
          <c:order val="2"/>
          <c:tx>
            <c:v>6% Return</c:v>
          </c:tx>
          <c:spPr>
            <a:ln w="38100" cap="flat" cmpd="dbl" algn="ctr">
              <a:solidFill>
                <a:schemeClr val="accent3"/>
              </a:solidFill>
              <a:miter lim="800000"/>
            </a:ln>
            <a:effectLst/>
          </c:spPr>
          <c:marker>
            <c:symbol val="none"/>
          </c:marker>
          <c:val>
            <c:numRef>
              <c:f>DataEngine!$Q$2:$Q$78</c:f>
              <c:numCache>
                <c:formatCode>#,##0.00</c:formatCode>
                <c:ptCount val="77"/>
                <c:pt idx="0">
                  <c:v>3060</c:v>
                </c:pt>
                <c:pt idx="1">
                  <c:v>5243.6</c:v>
                </c:pt>
                <c:pt idx="2">
                  <c:v>7558.2160000000003</c:v>
                </c:pt>
                <c:pt idx="3">
                  <c:v>10011.70896</c:v>
                </c:pt>
                <c:pt idx="4">
                  <c:v>12612.4114976</c:v>
                </c:pt>
                <c:pt idx="5">
                  <c:v>15369.156187455999</c:v>
                </c:pt>
                <c:pt idx="6">
                  <c:v>18291.30555870336</c:v>
                </c:pt>
                <c:pt idx="7">
                  <c:v>21388.783892225561</c:v>
                </c:pt>
                <c:pt idx="8">
                  <c:v>24672.110925759094</c:v>
                </c:pt>
                <c:pt idx="9">
                  <c:v>28152.437581304639</c:v>
                </c:pt>
                <c:pt idx="10">
                  <c:v>31841.583836182916</c:v>
                </c:pt>
                <c:pt idx="11">
                  <c:v>35752.078866353891</c:v>
                </c:pt>
                <c:pt idx="12">
                  <c:v>39897.203598335123</c:v>
                </c:pt>
                <c:pt idx="13">
                  <c:v>44291.035814235234</c:v>
                </c:pt>
                <c:pt idx="14">
                  <c:v>48948.49796308935</c:v>
                </c:pt>
                <c:pt idx="15">
                  <c:v>53885.407840874708</c:v>
                </c:pt>
                <c:pt idx="16">
                  <c:v>59118.532311327188</c:v>
                </c:pt>
                <c:pt idx="17">
                  <c:v>64665.644250006822</c:v>
                </c:pt>
                <c:pt idx="18">
                  <c:v>70545.582905007235</c:v>
                </c:pt>
                <c:pt idx="19">
                  <c:v>76778.317879307666</c:v>
                </c:pt>
                <c:pt idx="20">
                  <c:v>83385.016952066129</c:v>
                </c:pt>
                <c:pt idx="21">
                  <c:v>90388.117969190091</c:v>
                </c:pt>
                <c:pt idx="22">
                  <c:v>97811.405047341497</c:v>
                </c:pt>
                <c:pt idx="23">
                  <c:v>105680.08935018198</c:v>
                </c:pt>
                <c:pt idx="24">
                  <c:v>114020.8947111929</c:v>
                </c:pt>
                <c:pt idx="25">
                  <c:v>122862.14839386448</c:v>
                </c:pt>
                <c:pt idx="26">
                  <c:v>132233.87729749636</c:v>
                </c:pt>
                <c:pt idx="27">
                  <c:v>142167.90993534614</c:v>
                </c:pt>
                <c:pt idx="28">
                  <c:v>152697.98453146691</c:v>
                </c:pt>
                <c:pt idx="29">
                  <c:v>163859.86360335493</c:v>
                </c:pt>
                <c:pt idx="30">
                  <c:v>175691.45541955621</c:v>
                </c:pt>
                <c:pt idx="31">
                  <c:v>188232.94274472957</c:v>
                </c:pt>
                <c:pt idx="32">
                  <c:v>201526.91930941335</c:v>
                </c:pt>
                <c:pt idx="33">
                  <c:v>215618.53446797814</c:v>
                </c:pt>
                <c:pt idx="34">
                  <c:v>230555.64653605683</c:v>
                </c:pt>
                <c:pt idx="35">
                  <c:v>246388.98532822024</c:v>
                </c:pt>
                <c:pt idx="36">
                  <c:v>263172.32444791344</c:v>
                </c:pt>
                <c:pt idx="37">
                  <c:v>280962.66391478822</c:v>
                </c:pt>
                <c:pt idx="38">
                  <c:v>280962.66391478822</c:v>
                </c:pt>
                <c:pt idx="39">
                  <c:v>280962.66391478822</c:v>
                </c:pt>
                <c:pt idx="40">
                  <c:v>280962.66391478822</c:v>
                </c:pt>
                <c:pt idx="41">
                  <c:v>280962.66391478822</c:v>
                </c:pt>
                <c:pt idx="42">
                  <c:v>280962.66391478822</c:v>
                </c:pt>
                <c:pt idx="43">
                  <c:v>280962.66391478822</c:v>
                </c:pt>
                <c:pt idx="44">
                  <c:v>280962.66391478822</c:v>
                </c:pt>
                <c:pt idx="45">
                  <c:v>280962.66391478822</c:v>
                </c:pt>
                <c:pt idx="46">
                  <c:v>280962.66391478822</c:v>
                </c:pt>
                <c:pt idx="47">
                  <c:v>280962.66391478822</c:v>
                </c:pt>
                <c:pt idx="48">
                  <c:v>280962.66391478822</c:v>
                </c:pt>
                <c:pt idx="49">
                  <c:v>280962.66391478822</c:v>
                </c:pt>
                <c:pt idx="50">
                  <c:v>280962.66391478822</c:v>
                </c:pt>
                <c:pt idx="51">
                  <c:v>280962.66391478822</c:v>
                </c:pt>
                <c:pt idx="52">
                  <c:v>280962.66391478822</c:v>
                </c:pt>
                <c:pt idx="53">
                  <c:v>280962.66391478822</c:v>
                </c:pt>
                <c:pt idx="54">
                  <c:v>280962.66391478822</c:v>
                </c:pt>
                <c:pt idx="55">
                  <c:v>280962.66391478822</c:v>
                </c:pt>
                <c:pt idx="56">
                  <c:v>280962.66391478822</c:v>
                </c:pt>
                <c:pt idx="57">
                  <c:v>280962.66391478822</c:v>
                </c:pt>
                <c:pt idx="58">
                  <c:v>280962.66391478822</c:v>
                </c:pt>
                <c:pt idx="59">
                  <c:v>280962.66391478822</c:v>
                </c:pt>
                <c:pt idx="60">
                  <c:v>280962.66391478822</c:v>
                </c:pt>
                <c:pt idx="61">
                  <c:v>280962.66391478822</c:v>
                </c:pt>
                <c:pt idx="62">
                  <c:v>280962.66391478822</c:v>
                </c:pt>
                <c:pt idx="63">
                  <c:v>280962.66391478822</c:v>
                </c:pt>
                <c:pt idx="64">
                  <c:v>280962.66391478822</c:v>
                </c:pt>
                <c:pt idx="65">
                  <c:v>280962.66391478822</c:v>
                </c:pt>
                <c:pt idx="66">
                  <c:v>280962.66391478822</c:v>
                </c:pt>
                <c:pt idx="67">
                  <c:v>280962.66391478822</c:v>
                </c:pt>
                <c:pt idx="68">
                  <c:v>280962.66391478822</c:v>
                </c:pt>
                <c:pt idx="69">
                  <c:v>280962.66391478822</c:v>
                </c:pt>
                <c:pt idx="70">
                  <c:v>280962.66391478822</c:v>
                </c:pt>
                <c:pt idx="71">
                  <c:v>280962.66391478822</c:v>
                </c:pt>
                <c:pt idx="72">
                  <c:v>280962.66391478822</c:v>
                </c:pt>
                <c:pt idx="73">
                  <c:v>280962.66391478822</c:v>
                </c:pt>
                <c:pt idx="74">
                  <c:v>280962.66391478822</c:v>
                </c:pt>
                <c:pt idx="75">
                  <c:v>280962.66391478822</c:v>
                </c:pt>
                <c:pt idx="76">
                  <c:v>280962.66391478822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50-42E6-9985-2DE7C269F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8896287"/>
        <c:axId val="348893407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v>10% Return</c:v>
                </c:tx>
                <c:spPr>
                  <a:ln w="38100" cap="flat" cmpd="dbl" algn="ctr">
                    <a:solidFill>
                      <a:schemeClr val="accent4"/>
                    </a:solidFill>
                    <a:miter lim="800000"/>
                  </a:ln>
                  <a:effectLst/>
                </c:spPr>
                <c:marker>
                  <c:symbol val="circle"/>
                  <c:size val="6"/>
                  <c:spPr>
                    <a:solidFill>
                      <a:schemeClr val="accent4"/>
                    </a:solidFill>
                    <a:ln w="9525" cap="flat" cmpd="sng" algn="ctr">
                      <a:solidFill>
                        <a:schemeClr val="lt1"/>
                      </a:solidFill>
                      <a:round/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DataEngine!$R$2:$R$78</c15:sqref>
                        </c15:formulaRef>
                      </c:ext>
                    </c:extLst>
                    <c:numCache>
                      <c:formatCode>#,##0.00</c:formatCode>
                      <c:ptCount val="77"/>
                      <c:pt idx="0">
                        <c:v>3100</c:v>
                      </c:pt>
                      <c:pt idx="1">
                        <c:v>5410</c:v>
                      </c:pt>
                      <c:pt idx="2">
                        <c:v>7951</c:v>
                      </c:pt>
                      <c:pt idx="3">
                        <c:v>10746.1</c:v>
                      </c:pt>
                      <c:pt idx="4">
                        <c:v>13820.710000000001</c:v>
                      </c:pt>
                      <c:pt idx="5">
                        <c:v>17202.781000000003</c:v>
                      </c:pt>
                      <c:pt idx="6">
                        <c:v>20923.059100000002</c:v>
                      </c:pt>
                      <c:pt idx="7">
                        <c:v>25015.365010000001</c:v>
                      </c:pt>
                      <c:pt idx="8">
                        <c:v>29516.901511000004</c:v>
                      </c:pt>
                      <c:pt idx="9">
                        <c:v>34468.591662100007</c:v>
                      </c:pt>
                      <c:pt idx="10">
                        <c:v>39915.450828310008</c:v>
                      </c:pt>
                      <c:pt idx="11">
                        <c:v>45906.995911141006</c:v>
                      </c:pt>
                      <c:pt idx="12">
                        <c:v>52497.695502255105</c:v>
                      </c:pt>
                      <c:pt idx="13">
                        <c:v>59747.465052480613</c:v>
                      </c:pt>
                      <c:pt idx="14">
                        <c:v>67722.211557728675</c:v>
                      </c:pt>
                      <c:pt idx="15">
                        <c:v>76494.432713501548</c:v>
                      </c:pt>
                      <c:pt idx="16">
                        <c:v>86143.875984851707</c:v>
                      </c:pt>
                      <c:pt idx="17">
                        <c:v>96758.263583336884</c:v>
                      </c:pt>
                      <c:pt idx="18">
                        <c:v>108434.08994167057</c:v>
                      </c:pt>
                      <c:pt idx="19">
                        <c:v>121277.49893583762</c:v>
                      </c:pt>
                      <c:pt idx="20">
                        <c:v>135405.24882942138</c:v>
                      </c:pt>
                      <c:pt idx="21">
                        <c:v>150945.77371236353</c:v>
                      </c:pt>
                      <c:pt idx="22">
                        <c:v>168040.35108359987</c:v>
                      </c:pt>
                      <c:pt idx="23">
                        <c:v>186844.38619195987</c:v>
                      </c:pt>
                      <c:pt idx="24">
                        <c:v>207528.82481115585</c:v>
                      </c:pt>
                      <c:pt idx="25">
                        <c:v>230281.70729227143</c:v>
                      </c:pt>
                      <c:pt idx="26">
                        <c:v>255309.87802149856</c:v>
                      </c:pt>
                      <c:pt idx="27">
                        <c:v>282840.8658236484</c:v>
                      </c:pt>
                      <c:pt idx="28">
                        <c:v>313124.95240601327</c:v>
                      </c:pt>
                      <c:pt idx="29">
                        <c:v>346437.44764661457</c:v>
                      </c:pt>
                      <c:pt idx="30">
                        <c:v>383081.19241127605</c:v>
                      </c:pt>
                      <c:pt idx="31">
                        <c:v>423389.31165240367</c:v>
                      </c:pt>
                      <c:pt idx="32">
                        <c:v>467728.24281764403</c:v>
                      </c:pt>
                      <c:pt idx="33">
                        <c:v>516501.06709940842</c:v>
                      </c:pt>
                      <c:pt idx="34">
                        <c:v>570151.1738093493</c:v>
                      </c:pt>
                      <c:pt idx="35">
                        <c:v>629166.29119028419</c:v>
                      </c:pt>
                      <c:pt idx="36">
                        <c:v>694082.92030931264</c:v>
                      </c:pt>
                      <c:pt idx="37">
                        <c:v>765491.21234024386</c:v>
                      </c:pt>
                      <c:pt idx="38">
                        <c:v>796110.8608338536</c:v>
                      </c:pt>
                      <c:pt idx="39">
                        <c:v>827955.29526720778</c:v>
                      </c:pt>
                      <c:pt idx="40">
                        <c:v>861073.50707789604</c:v>
                      </c:pt>
                      <c:pt idx="41">
                        <c:v>895516.44736101187</c:v>
                      </c:pt>
                      <c:pt idx="42">
                        <c:v>931337.10525545233</c:v>
                      </c:pt>
                      <c:pt idx="43">
                        <c:v>968590.5894656704</c:v>
                      </c:pt>
                      <c:pt idx="44">
                        <c:v>1007334.2130442972</c:v>
                      </c:pt>
                      <c:pt idx="45">
                        <c:v>1047627.581566069</c:v>
                      </c:pt>
                      <c:pt idx="46">
                        <c:v>1089532.6848287119</c:v>
                      </c:pt>
                      <c:pt idx="47">
                        <c:v>1133113.9922218602</c:v>
                      </c:pt>
                      <c:pt idx="48">
                        <c:v>1178438.5519107347</c:v>
                      </c:pt>
                      <c:pt idx="49">
                        <c:v>1225576.0939871641</c:v>
                      </c:pt>
                      <c:pt idx="50">
                        <c:v>1274599.1377466507</c:v>
                      </c:pt>
                      <c:pt idx="51">
                        <c:v>1325583.1032565166</c:v>
                      </c:pt>
                      <c:pt idx="52">
                        <c:v>1378606.4273867772</c:v>
                      </c:pt>
                      <c:pt idx="53">
                        <c:v>1433750.6844822485</c:v>
                      </c:pt>
                      <c:pt idx="54">
                        <c:v>1491100.7118615385</c:v>
                      </c:pt>
                      <c:pt idx="55">
                        <c:v>1550744.740336</c:v>
                      </c:pt>
                      <c:pt idx="56">
                        <c:v>1612774.5299494399</c:v>
                      </c:pt>
                      <c:pt idx="57">
                        <c:v>1677285.5111474176</c:v>
                      </c:pt>
                      <c:pt idx="58">
                        <c:v>1744376.9315933143</c:v>
                      </c:pt>
                      <c:pt idx="59">
                        <c:v>1814152.008857047</c:v>
                      </c:pt>
                      <c:pt idx="60">
                        <c:v>1886718.0892113289</c:v>
                      </c:pt>
                      <c:pt idx="61">
                        <c:v>1962186.8127797821</c:v>
                      </c:pt>
                      <c:pt idx="62">
                        <c:v>2040674.2852909737</c:v>
                      </c:pt>
                      <c:pt idx="63">
                        <c:v>2122301.2567026126</c:v>
                      </c:pt>
                      <c:pt idx="64">
                        <c:v>2207193.3069707169</c:v>
                      </c:pt>
                      <c:pt idx="65">
                        <c:v>2295481.0392495459</c:v>
                      </c:pt>
                      <c:pt idx="66">
                        <c:v>2387300.2808195278</c:v>
                      </c:pt>
                      <c:pt idx="67">
                        <c:v>2482792.2920523086</c:v>
                      </c:pt>
                      <c:pt idx="68">
                        <c:v>2582103.9837344009</c:v>
                      </c:pt>
                      <c:pt idx="69">
                        <c:v>2685388.1430837768</c:v>
                      </c:pt>
                      <c:pt idx="70">
                        <c:v>2792803.6688071275</c:v>
                      </c:pt>
                      <c:pt idx="71">
                        <c:v>2904515.8155594124</c:v>
                      </c:pt>
                      <c:pt idx="72">
                        <c:v>3020696.4481817889</c:v>
                      </c:pt>
                      <c:pt idx="73">
                        <c:v>3141524.3061090605</c:v>
                      </c:pt>
                      <c:pt idx="74">
                        <c:v>3267185.2783534229</c:v>
                      </c:pt>
                      <c:pt idx="75">
                        <c:v>3397872.6894875597</c:v>
                      </c:pt>
                      <c:pt idx="76">
                        <c:v>3533787.5970670623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1350-42E6-9985-2DE7C269F4B5}"/>
                  </c:ext>
                </c:extLst>
              </c15:ser>
            </c15:filteredLineSeries>
          </c:ext>
        </c:extLst>
      </c:lineChart>
      <c:catAx>
        <c:axId val="348896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in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893407"/>
        <c:crosses val="autoZero"/>
        <c:auto val="1"/>
        <c:lblAlgn val="ctr"/>
        <c:lblOffset val="100"/>
        <c:tickLblSkip val="10"/>
        <c:tickMarkSkip val="1"/>
        <c:noMultiLvlLbl val="0"/>
      </c:catAx>
      <c:valAx>
        <c:axId val="348893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Nominal</a:t>
                </a:r>
                <a:r>
                  <a:rPr lang="en-US" baseline="0"/>
                  <a:t> Portfolio Value ($)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,&quot;K&quot;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8962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Nominal Vs Real Withdrawal (to retain buying power amid inflation)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Nominal Withdrawal</c:v>
          </c:tx>
          <c:spPr>
            <a:ln w="38100" cap="flat" cmpd="dbl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DataEngine!$A$2:$A$78</c:f>
              <c:numCache>
                <c:formatCode>General</c:formatCode>
                <c:ptCount val="77"/>
                <c:pt idx="0" formatCode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  <c:pt idx="61">
                  <c:v>2086</c:v>
                </c:pt>
                <c:pt idx="62">
                  <c:v>2087</c:v>
                </c:pt>
                <c:pt idx="63">
                  <c:v>2088</c:v>
                </c:pt>
                <c:pt idx="64">
                  <c:v>2089</c:v>
                </c:pt>
                <c:pt idx="65">
                  <c:v>2090</c:v>
                </c:pt>
                <c:pt idx="66">
                  <c:v>2091</c:v>
                </c:pt>
                <c:pt idx="67">
                  <c:v>2092</c:v>
                </c:pt>
                <c:pt idx="68">
                  <c:v>2093</c:v>
                </c:pt>
                <c:pt idx="69">
                  <c:v>2094</c:v>
                </c:pt>
                <c:pt idx="70">
                  <c:v>2095</c:v>
                </c:pt>
                <c:pt idx="71">
                  <c:v>2096</c:v>
                </c:pt>
                <c:pt idx="72">
                  <c:v>2097</c:v>
                </c:pt>
                <c:pt idx="73">
                  <c:v>2098</c:v>
                </c:pt>
                <c:pt idx="74">
                  <c:v>2099</c:v>
                </c:pt>
                <c:pt idx="75">
                  <c:v>2100</c:v>
                </c:pt>
                <c:pt idx="76">
                  <c:v>2101</c:v>
                </c:pt>
              </c:numCache>
            </c:numRef>
          </c:cat>
          <c:val>
            <c:numRef>
              <c:f>DataEngine!$F$2:$F$78</c:f>
              <c:numCache>
                <c:formatCode>#,##0.00</c:formatCode>
                <c:ptCount val="7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11726.957885170224</c:v>
                </c:pt>
                <c:pt idx="37">
                  <c:v>11287.196964476341</c:v>
                </c:pt>
                <c:pt idx="38">
                  <c:v>10863.927078308479</c:v>
                </c:pt>
                <c:pt idx="39">
                  <c:v>10456.529812871911</c:v>
                </c:pt>
                <c:pt idx="40">
                  <c:v>10064.409944889214</c:v>
                </c:pt>
                <c:pt idx="41">
                  <c:v>9686.9945719558691</c:v>
                </c:pt>
                <c:pt idx="42">
                  <c:v>9323.7322755075238</c:v>
                </c:pt>
                <c:pt idx="43">
                  <c:v>8974.0923151759907</c:v>
                </c:pt>
                <c:pt idx="44">
                  <c:v>8637.5638533568908</c:v>
                </c:pt>
                <c:pt idx="45">
                  <c:v>8313.6552088560074</c:v>
                </c:pt>
                <c:pt idx="46">
                  <c:v>8001.8931385239066</c:v>
                </c:pt>
                <c:pt idx="47">
                  <c:v>7701.8221458292601</c:v>
                </c:pt>
                <c:pt idx="48">
                  <c:v>7413.0038153606638</c:v>
                </c:pt>
                <c:pt idx="49">
                  <c:v>7135.0161722846397</c:v>
                </c:pt>
                <c:pt idx="50">
                  <c:v>6867.4530658239655</c:v>
                </c:pt>
                <c:pt idx="51">
                  <c:v>6609.9235758555669</c:v>
                </c:pt>
                <c:pt idx="52">
                  <c:v>6362.051441760982</c:v>
                </c:pt>
                <c:pt idx="53">
                  <c:v>6123.4745126949456</c:v>
                </c:pt>
                <c:pt idx="54">
                  <c:v>5893.8442184688847</c:v>
                </c:pt>
                <c:pt idx="55">
                  <c:v>5672.825060276301</c:v>
                </c:pt>
                <c:pt idx="56">
                  <c:v>5460.0941205159406</c:v>
                </c:pt>
                <c:pt idx="57">
                  <c:v>5255.3405909965923</c:v>
                </c:pt>
                <c:pt idx="58">
                  <c:v>5058.2653188342201</c:v>
                </c:pt>
                <c:pt idx="59">
                  <c:v>4868.5803693779362</c:v>
                </c:pt>
                <c:pt idx="60">
                  <c:v>4686.0086055262645</c:v>
                </c:pt>
                <c:pt idx="61">
                  <c:v>4510.2832828190285</c:v>
                </c:pt>
                <c:pt idx="62">
                  <c:v>4341.1476597133151</c:v>
                </c:pt>
                <c:pt idx="63">
                  <c:v>4178.3546224740658</c:v>
                </c:pt>
                <c:pt idx="64">
                  <c:v>4021.6663241312876</c:v>
                </c:pt>
                <c:pt idx="65">
                  <c:v>3870.8538369763642</c:v>
                </c:pt>
                <c:pt idx="66">
                  <c:v>3725.6968180897506</c:v>
                </c:pt>
                <c:pt idx="67">
                  <c:v>3585.9831874113847</c:v>
                </c:pt>
                <c:pt idx="68">
                  <c:v>3451.5088178834581</c:v>
                </c:pt>
                <c:pt idx="69">
                  <c:v>3322.0772372128285</c:v>
                </c:pt>
                <c:pt idx="70">
                  <c:v>3197.4993408173477</c:v>
                </c:pt>
                <c:pt idx="71">
                  <c:v>3077.593115536697</c:v>
                </c:pt>
                <c:pt idx="72">
                  <c:v>2962.1833737040706</c:v>
                </c:pt>
                <c:pt idx="73">
                  <c:v>2851.1014971901677</c:v>
                </c:pt>
                <c:pt idx="74">
                  <c:v>2744.1851910455366</c:v>
                </c:pt>
                <c:pt idx="75">
                  <c:v>2641.2782463813292</c:v>
                </c:pt>
                <c:pt idx="76">
                  <c:v>2542.2303121420291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DF-4BEC-A36E-960F9971C5D2}"/>
            </c:ext>
          </c:extLst>
        </c:ser>
        <c:ser>
          <c:idx val="1"/>
          <c:order val="1"/>
          <c:tx>
            <c:v>Real Withdrawal (Inflation-adjusted)</c:v>
          </c:tx>
          <c:spPr>
            <a:ln w="38100" cap="flat" cmpd="dbl" algn="ctr">
              <a:solidFill>
                <a:schemeClr val="accent2"/>
              </a:solidFill>
              <a:miter lim="800000"/>
            </a:ln>
            <a:effectLst/>
          </c:spPr>
          <c:marker>
            <c:symbol val="none"/>
          </c:marker>
          <c:val>
            <c:numRef>
              <c:f>DataEngine!$G$2:$G$78</c:f>
              <c:numCache>
                <c:formatCode>#,##0.00</c:formatCode>
                <c:ptCount val="7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11726.957885170224</c:v>
                </c:pt>
                <c:pt idx="37">
                  <c:v>11541.158896177058</c:v>
                </c:pt>
                <c:pt idx="38">
                  <c:v>11358.303659915753</c:v>
                </c:pt>
                <c:pt idx="39">
                  <c:v>11178.345536303963</c:v>
                </c:pt>
                <c:pt idx="40">
                  <c:v>11001.238624213145</c:v>
                </c:pt>
                <c:pt idx="41">
                  <c:v>10826.937749760769</c:v>
                </c:pt>
                <c:pt idx="42">
                  <c:v>10655.398454787995</c:v>
                </c:pt>
                <c:pt idx="43">
                  <c:v>10486.576985519947</c:v>
                </c:pt>
                <c:pt idx="44">
                  <c:v>10320.430281405614</c:v>
                </c:pt>
                <c:pt idx="45">
                  <c:v>10156.915964134592</c:v>
                </c:pt>
                <c:pt idx="46">
                  <c:v>9995.9923268278326</c:v>
                </c:pt>
                <c:pt idx="47">
                  <c:v>9837.6183233996544</c:v>
                </c:pt>
                <c:pt idx="48">
                  <c:v>9681.7535580882923</c:v>
                </c:pt>
                <c:pt idx="49">
                  <c:v>9528.3582751523318</c:v>
                </c:pt>
                <c:pt idx="50">
                  <c:v>9377.3933487303875</c:v>
                </c:pt>
                <c:pt idx="51">
                  <c:v>9228.8202728614397</c:v>
                </c:pt>
                <c:pt idx="52">
                  <c:v>9082.601151663288</c:v>
                </c:pt>
                <c:pt idx="53">
                  <c:v>8938.6986896666222</c:v>
                </c:pt>
                <c:pt idx="54">
                  <c:v>8797.0761823022149</c:v>
                </c:pt>
                <c:pt idx="55">
                  <c:v>8657.6975065388633</c:v>
                </c:pt>
                <c:pt idx="56">
                  <c:v>8520.5271116696404</c:v>
                </c:pt>
                <c:pt idx="57">
                  <c:v>8385.5300102441233</c:v>
                </c:pt>
                <c:pt idx="58">
                  <c:v>8252.6717691443173</c:v>
                </c:pt>
                <c:pt idx="59">
                  <c:v>8121.9185008019349</c:v>
                </c:pt>
                <c:pt idx="60">
                  <c:v>7993.2368545548552</c:v>
                </c:pt>
                <c:pt idx="61">
                  <c:v>7866.5940081404979</c:v>
                </c:pt>
                <c:pt idx="62">
                  <c:v>7741.9576593240226</c:v>
                </c:pt>
                <c:pt idx="63">
                  <c:v>7619.2960176591068</c:v>
                </c:pt>
                <c:pt idx="64">
                  <c:v>7498.5777963793198</c:v>
                </c:pt>
                <c:pt idx="65">
                  <c:v>7379.7722044179336</c:v>
                </c:pt>
                <c:pt idx="66">
                  <c:v>7262.848938554188</c:v>
                </c:pt>
                <c:pt idx="67">
                  <c:v>7147.7781756839686</c:v>
                </c:pt>
                <c:pt idx="68">
                  <c:v>7034.5305652129746</c:v>
                </c:pt>
                <c:pt idx="69">
                  <c:v>6923.0772215703819</c:v>
                </c:pt>
                <c:pt idx="70">
                  <c:v>6813.3897168411258</c:v>
                </c:pt>
                <c:pt idx="71">
                  <c:v>6705.4400735149238</c:v>
                </c:pt>
                <c:pt idx="72">
                  <c:v>6599.2007573501705</c:v>
                </c:pt>
                <c:pt idx="73">
                  <c:v>6494.6446703509037</c:v>
                </c:pt>
                <c:pt idx="74">
                  <c:v>6391.7451438550315</c:v>
                </c:pt>
                <c:pt idx="75">
                  <c:v>6290.4759317320786</c:v>
                </c:pt>
                <c:pt idx="76">
                  <c:v>6190.8112036886969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DF-4BEC-A36E-960F9971C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081967"/>
        <c:axId val="344083887"/>
      </c:lineChart>
      <c:catAx>
        <c:axId val="344081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in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083887"/>
        <c:crosses val="autoZero"/>
        <c:auto val="1"/>
        <c:lblAlgn val="ctr"/>
        <c:lblOffset val="100"/>
        <c:tickLblSkip val="10"/>
        <c:tickMarkSkip val="1"/>
        <c:noMultiLvlLbl val="0"/>
      </c:catAx>
      <c:valAx>
        <c:axId val="344083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Withdrawal Amount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,&quot;K&quot;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081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514350</xdr:colOff>
      <xdr:row>0</xdr:row>
      <xdr:rowOff>190500</xdr:rowOff>
    </xdr:from>
    <xdr:to>
      <xdr:col>11</xdr:col>
      <xdr:colOff>238125</xdr:colOff>
      <xdr:row>20</xdr:row>
      <xdr:rowOff>85725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BEAC0C6A-23A3-E928-D9C4-9B9B87401BE4}"/>
            </a:ext>
          </a:extLst>
        </xdr:cNvPr>
        <xdr:cNvGrpSpPr/>
      </xdr:nvGrpSpPr>
      <xdr:grpSpPr>
        <a:xfrm>
          <a:off x="3390900" y="190500"/>
          <a:ext cx="4600575" cy="3724275"/>
          <a:chOff x="3457575" y="190500"/>
          <a:chExt cx="4600575" cy="3724275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DC997509-48D9-47D2-B07E-EBBC1DC25642}"/>
              </a:ext>
            </a:extLst>
          </xdr:cNvPr>
          <xdr:cNvGraphicFramePr>
            <a:graphicFrameLocks/>
          </xdr:cNvGraphicFramePr>
        </xdr:nvGraphicFramePr>
        <xdr:xfrm>
          <a:off x="3486149" y="190500"/>
          <a:ext cx="4524375" cy="3667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A8AB90F0-13CF-0B58-7E4F-ABEC0C743658}"/>
              </a:ext>
            </a:extLst>
          </xdr:cNvPr>
          <xdr:cNvSpPr/>
        </xdr:nvSpPr>
        <xdr:spPr>
          <a:xfrm>
            <a:off x="3457575" y="190500"/>
            <a:ext cx="4600575" cy="3724275"/>
          </a:xfrm>
          <a:prstGeom prst="rect">
            <a:avLst/>
          </a:prstGeom>
          <a:noFill/>
          <a:ln w="31750">
            <a:solidFill>
              <a:schemeClr val="accent1">
                <a:shade val="1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8</xdr:col>
      <xdr:colOff>76200</xdr:colOff>
      <xdr:row>20</xdr:row>
      <xdr:rowOff>123825</xdr:rowOff>
    </xdr:from>
    <xdr:to>
      <xdr:col>15</xdr:col>
      <xdr:colOff>419100</xdr:colOff>
      <xdr:row>40</xdr:row>
      <xdr:rowOff>38100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4C1C5B-8402-4A5D-4E06-2D9A2DAEBA16}"/>
            </a:ext>
          </a:extLst>
        </xdr:cNvPr>
        <xdr:cNvGrpSpPr/>
      </xdr:nvGrpSpPr>
      <xdr:grpSpPr>
        <a:xfrm>
          <a:off x="6000750" y="3952875"/>
          <a:ext cx="4610100" cy="3724275"/>
          <a:chOff x="6591300" y="3952875"/>
          <a:chExt cx="4610100" cy="3724275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27A2A625-D598-24DF-C00E-4B6936F7CEA7}"/>
              </a:ext>
            </a:extLst>
          </xdr:cNvPr>
          <xdr:cNvGraphicFramePr/>
        </xdr:nvGraphicFramePr>
        <xdr:xfrm>
          <a:off x="6629400" y="4152901"/>
          <a:ext cx="4572000" cy="34575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4C00D85F-7EE7-4B89-9811-5E167FC0C415}"/>
              </a:ext>
            </a:extLst>
          </xdr:cNvPr>
          <xdr:cNvSpPr/>
        </xdr:nvSpPr>
        <xdr:spPr>
          <a:xfrm>
            <a:off x="6591300" y="3952875"/>
            <a:ext cx="4600575" cy="3724275"/>
          </a:xfrm>
          <a:prstGeom prst="rect">
            <a:avLst/>
          </a:prstGeom>
          <a:noFill/>
          <a:ln w="31750">
            <a:solidFill>
              <a:schemeClr val="accent1">
                <a:shade val="1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12</xdr:col>
      <xdr:colOff>104775</xdr:colOff>
      <xdr:row>0</xdr:row>
      <xdr:rowOff>180975</xdr:rowOff>
    </xdr:from>
    <xdr:to>
      <xdr:col>19</xdr:col>
      <xdr:colOff>442912</xdr:colOff>
      <xdr:row>20</xdr:row>
      <xdr:rowOff>76200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3F43CA-9253-3218-D3C5-8F2824ED2529}"/>
            </a:ext>
          </a:extLst>
        </xdr:cNvPr>
        <xdr:cNvGrpSpPr/>
      </xdr:nvGrpSpPr>
      <xdr:grpSpPr>
        <a:xfrm>
          <a:off x="8467725" y="180975"/>
          <a:ext cx="4605337" cy="3724275"/>
          <a:chOff x="8467725" y="180975"/>
          <a:chExt cx="4605337" cy="3724275"/>
        </a:xfrm>
      </xdr:grpSpPr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D133AE37-C3D0-190C-D423-102B6B85258F}"/>
              </a:ext>
            </a:extLst>
          </xdr:cNvPr>
          <xdr:cNvGraphicFramePr/>
        </xdr:nvGraphicFramePr>
        <xdr:xfrm>
          <a:off x="8501062" y="209550"/>
          <a:ext cx="4572000" cy="35909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78439F2C-CF73-4801-91B1-F706A1AF1813}"/>
              </a:ext>
            </a:extLst>
          </xdr:cNvPr>
          <xdr:cNvSpPr/>
        </xdr:nvSpPr>
        <xdr:spPr>
          <a:xfrm>
            <a:off x="8467725" y="180975"/>
            <a:ext cx="4600575" cy="3724275"/>
          </a:xfrm>
          <a:prstGeom prst="rect">
            <a:avLst/>
          </a:prstGeom>
          <a:noFill/>
          <a:ln w="31750">
            <a:solidFill>
              <a:schemeClr val="accent1">
                <a:shade val="1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C6D0C33-7B6D-4F63-A7BE-68C89821C727}" name="Table4" displayName="Table4" ref="A1:I3" totalsRowCount="1" headerRowDxfId="19" headerRowBorderDxfId="18">
  <autoFilter ref="A1:I2" xr:uid="{8C6D0C33-7B6D-4F63-A7BE-68C89821C727}"/>
  <tableColumns count="9">
    <tableColumn id="1" xr3:uid="{4C00CCE1-E92A-41A1-B870-A5E846444EEB}" name="Year" totalsRowFunction="custom" dataDxfId="17" totalsRowDxfId="16">
      <calculatedColumnFormula>start_year</calculatedColumnFormula>
      <totalsRowFormula>A2+1</totalsRowFormula>
    </tableColumn>
    <tableColumn id="2" xr3:uid="{09527EFE-4D73-4551-A884-81AA23738D59}" name="Age" totalsRowFunction="custom" dataDxfId="15" totalsRowDxfId="14">
      <calculatedColumnFormula>start_age</calculatedColumnFormula>
      <totalsRowFormula>B2+1</totalsRowFormula>
    </tableColumn>
    <tableColumn id="3" xr3:uid="{D17CC084-09C2-495F-A6AB-917D7D4A9215}" name="Annual_x000a_Contribution" totalsRowFunction="custom" dataDxfId="13" totalsRowDxfId="12">
      <calculatedColumnFormula>IF(B2&lt;retirement_age, annual_contribution, 0)</calculatedColumnFormula>
      <totalsRowFormula>IF(B3 &lt; retirement_age, annual_contribution, 0)</totalsRowFormula>
    </tableColumn>
    <tableColumn id="4" xr3:uid="{2E6418C1-880D-44CB-A18C-00184146751F}" name="Portfolio _x000a_Start" totalsRowFunction="custom" dataDxfId="11" totalsRowDxfId="10">
      <calculatedColumnFormula>starting_portfolio</calculatedColumnFormula>
      <totalsRowFormula>H2</totalsRowFormula>
    </tableColumn>
    <tableColumn id="5" xr3:uid="{B2057561-F342-44F5-B202-3F3ED190CE00}" name="Return" totalsRowFunction="custom" dataDxfId="9" totalsRowDxfId="8">
      <calculatedColumnFormula>D2*return_rate</calculatedColumnFormula>
      <totalsRowFormula>D3 * return_rate</totalsRowFormula>
    </tableColumn>
    <tableColumn id="6" xr3:uid="{FB698F28-FDB1-483D-BC1F-E9DEED472096}" name="Withdrawal (Nominal)" totalsRowFunction="custom" dataDxfId="7" totalsRowDxfId="6">
      <calculatedColumnFormula>IF(B2&gt;=retirement_age, D2*withdrawal_rate, 0)</calculatedColumnFormula>
      <totalsRowFormula>IF(B3&gt;= retirement_age, D3*withdrawal_rate, 0)</totalsRowFormula>
    </tableColumn>
    <tableColumn id="7" xr3:uid="{7DB370EA-B684-4A24-AF5D-1E47F10D8805}" name="Withdrawal (Real)" totalsRowFunction="custom" dataDxfId="5" totalsRowDxfId="4">
      <calculatedColumnFormula>IF(B2&lt;retirement_age,0,
   D2*withdrawal_rate*(1+inflation_rate)^(B2-retirement_age))</calculatedColumnFormula>
      <totalsRowFormula>IF(B3&lt;retirement_age,0,
   D3*withdrawal_rate*(1+inflation_rate)^(B3-retirement_age))</totalsRowFormula>
    </tableColumn>
    <tableColumn id="8" xr3:uid="{0213897C-39E0-4635-9BB3-233B8A077A1A}" name="Portfolio_x000a_Value_x000a_(Nominal)" totalsRowFunction="custom" dataDxfId="3" totalsRowDxfId="2">
      <calculatedColumnFormula>D2 + C2 + E2 - F2</calculatedColumnFormula>
      <totalsRowFormula>D3 + C3 + E3 - F3</totalsRowFormula>
    </tableColumn>
    <tableColumn id="9" xr3:uid="{C7621C0E-B7A5-4E6E-A256-A6BAA7874012}" name="Portfolio_x000a_Value_x000a_(Real)" totalsRowFunction="custom" dataDxfId="1" totalsRowDxfId="0">
      <calculatedColumnFormula>H2 / (1 + inflation)^(A2 - start_year)</calculatedColumnFormula>
      <totalsRowFormula>H3 / (1 + inflation)^(A3 - start_year)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75F54-75BA-4156-9DEB-B15093465F13}">
  <dimension ref="A1:R78"/>
  <sheetViews>
    <sheetView zoomScaleNormal="100"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H2" sqref="H2"/>
    </sheetView>
  </sheetViews>
  <sheetFormatPr defaultRowHeight="15" x14ac:dyDescent="0.25"/>
  <cols>
    <col min="1" max="1" width="7.42578125" customWidth="1"/>
    <col min="2" max="2" width="24.28515625" style="15" customWidth="1"/>
    <col min="3" max="3" width="14.7109375" style="14" customWidth="1"/>
    <col min="4" max="4" width="17.5703125" style="14" customWidth="1"/>
    <col min="5" max="5" width="18.28515625" style="14" customWidth="1"/>
    <col min="6" max="6" width="18.85546875" style="14" customWidth="1"/>
    <col min="7" max="7" width="13.5703125" style="14" customWidth="1"/>
    <col min="8" max="8" width="22.42578125" style="14" customWidth="1"/>
    <col min="9" max="9" width="19.28515625" style="14" customWidth="1"/>
    <col min="11" max="11" width="19.7109375" customWidth="1"/>
    <col min="12" max="12" width="16.42578125" customWidth="1"/>
    <col min="13" max="13" width="9.140625" hidden="1" customWidth="1"/>
    <col min="14" max="14" width="7.28515625" bestFit="1" customWidth="1"/>
    <col min="15" max="15" width="11" style="14" customWidth="1"/>
    <col min="16" max="16" width="14.85546875" style="14" customWidth="1"/>
    <col min="17" max="17" width="16" style="14" customWidth="1"/>
    <col min="18" max="18" width="18.140625" style="14" customWidth="1"/>
    <col min="19" max="19" width="13.5703125" customWidth="1"/>
    <col min="20" max="21" width="17.42578125" customWidth="1"/>
    <col min="22" max="22" width="21.42578125" customWidth="1"/>
  </cols>
  <sheetData>
    <row r="1" spans="1:18" ht="45.75" thickBot="1" x14ac:dyDescent="0.3">
      <c r="A1" s="18" t="s">
        <v>11</v>
      </c>
      <c r="B1" s="19" t="s">
        <v>7</v>
      </c>
      <c r="C1" s="20" t="s">
        <v>18</v>
      </c>
      <c r="D1" s="20" t="s">
        <v>15</v>
      </c>
      <c r="E1" s="21" t="s">
        <v>12</v>
      </c>
      <c r="F1" s="20" t="s">
        <v>16</v>
      </c>
      <c r="G1" s="20" t="s">
        <v>17</v>
      </c>
      <c r="H1" s="20" t="s">
        <v>19</v>
      </c>
      <c r="I1" s="20" t="s">
        <v>20</v>
      </c>
      <c r="O1" s="14" t="s">
        <v>21</v>
      </c>
      <c r="P1" s="14" t="s">
        <v>22</v>
      </c>
      <c r="Q1" s="14" t="s">
        <v>23</v>
      </c>
      <c r="R1" s="14" t="s">
        <v>24</v>
      </c>
    </row>
    <row r="2" spans="1:18" x14ac:dyDescent="0.25">
      <c r="A2" s="22">
        <f>start_year</f>
        <v>2025</v>
      </c>
      <c r="B2" s="23">
        <f>start_age</f>
        <v>29</v>
      </c>
      <c r="C2" s="24">
        <f>IF(B2&lt;retirement_age, annual_contribution, 0)</f>
        <v>3500</v>
      </c>
      <c r="D2" s="24">
        <f>starting_portfolio</f>
        <v>2000</v>
      </c>
      <c r="E2" s="24">
        <f>D2*return_rate</f>
        <v>45</v>
      </c>
      <c r="F2" s="24">
        <f>IF(B2&gt;=retirement_age, D2*withdrawal_rate, 0)</f>
        <v>0</v>
      </c>
      <c r="G2" s="24">
        <f t="shared" ref="G2:G33" si="0">IF(B2&lt;retirement_age,0,
   D2*withdrawal_rate*(1+inflation_rate)^(B2-retirement_age))</f>
        <v>0</v>
      </c>
      <c r="H2" s="24">
        <f t="shared" ref="H2" si="1">D2 + C2 + E2 - F2</f>
        <v>5545</v>
      </c>
      <c r="I2" s="25">
        <f t="shared" ref="I2:I33" si="2">H2 / (1 + inflation)^(A2 - start_year)</f>
        <v>5545</v>
      </c>
      <c r="O2" s="24">
        <v>3020</v>
      </c>
      <c r="P2" s="24">
        <v>3040</v>
      </c>
      <c r="Q2" s="14">
        <v>3060</v>
      </c>
      <c r="R2" s="14">
        <v>3100</v>
      </c>
    </row>
    <row r="3" spans="1:18" x14ac:dyDescent="0.25">
      <c r="A3" s="9">
        <f>A2+1</f>
        <v>2026</v>
      </c>
      <c r="B3" s="15">
        <f>B2+1</f>
        <v>30</v>
      </c>
      <c r="C3" s="14">
        <f t="shared" ref="C3:C34" si="3">IF(B3 &lt; retirement_age, annual_contribution, 0)</f>
        <v>3500</v>
      </c>
      <c r="D3" s="14">
        <f>H2</f>
        <v>5545</v>
      </c>
      <c r="E3" s="14">
        <f t="shared" ref="E3:E34" si="4">D3 * return_rate</f>
        <v>124.76249999999999</v>
      </c>
      <c r="F3" s="14">
        <f t="shared" ref="F3:F34" si="5">IF(B3&gt;= retirement_age, D3*withdrawal_rate, 0)</f>
        <v>0</v>
      </c>
      <c r="G3" s="14">
        <f t="shared" si="0"/>
        <v>0</v>
      </c>
      <c r="H3" s="14">
        <f>D3 + C3 + E3 - F3</f>
        <v>9169.7625000000007</v>
      </c>
      <c r="I3" s="26">
        <f t="shared" si="2"/>
        <v>8967.9828850855756</v>
      </c>
      <c r="O3" s="14">
        <v>5080.3999999999996</v>
      </c>
      <c r="P3" s="14">
        <v>5161.6000000000004</v>
      </c>
      <c r="Q3" s="14">
        <v>5243.6</v>
      </c>
      <c r="R3" s="14">
        <v>5410</v>
      </c>
    </row>
    <row r="4" spans="1:18" x14ac:dyDescent="0.25">
      <c r="A4" s="9">
        <f t="shared" ref="A4:A67" si="6">A3+1</f>
        <v>2027</v>
      </c>
      <c r="B4" s="15">
        <f t="shared" ref="B4:B67" si="7">B3+1</f>
        <v>31</v>
      </c>
      <c r="C4" s="14">
        <f t="shared" si="3"/>
        <v>3500</v>
      </c>
      <c r="D4" s="14">
        <f t="shared" ref="D4:D67" si="8">H3</f>
        <v>9169.7625000000007</v>
      </c>
      <c r="E4" s="14">
        <f t="shared" si="4"/>
        <v>206.31965625000001</v>
      </c>
      <c r="F4" s="14">
        <f t="shared" si="5"/>
        <v>0</v>
      </c>
      <c r="G4" s="14">
        <f t="shared" si="0"/>
        <v>0</v>
      </c>
      <c r="H4" s="14">
        <f t="shared" ref="H4:H67" si="9">D4 + C4 + E4 - F4</f>
        <v>12876.08215625</v>
      </c>
      <c r="I4" s="26">
        <f t="shared" si="2"/>
        <v>12315.643408396652</v>
      </c>
      <c r="O4" s="14">
        <v>7182.0079999999998</v>
      </c>
      <c r="P4" s="14">
        <v>7368.0640000000003</v>
      </c>
      <c r="Q4" s="14">
        <v>7558.2160000000003</v>
      </c>
      <c r="R4" s="14">
        <v>7951</v>
      </c>
    </row>
    <row r="5" spans="1:18" x14ac:dyDescent="0.25">
      <c r="A5" s="9">
        <f t="shared" si="6"/>
        <v>2028</v>
      </c>
      <c r="B5" s="15">
        <f t="shared" si="7"/>
        <v>32</v>
      </c>
      <c r="C5" s="14">
        <f t="shared" si="3"/>
        <v>3500</v>
      </c>
      <c r="D5" s="14">
        <f t="shared" si="8"/>
        <v>12876.08215625</v>
      </c>
      <c r="E5" s="14">
        <f t="shared" si="4"/>
        <v>289.71184851562498</v>
      </c>
      <c r="F5" s="14">
        <f t="shared" si="5"/>
        <v>0</v>
      </c>
      <c r="G5" s="14">
        <f t="shared" si="0"/>
        <v>0</v>
      </c>
      <c r="H5" s="14">
        <f t="shared" si="9"/>
        <v>16665.794004765627</v>
      </c>
      <c r="I5" s="26">
        <f t="shared" si="2"/>
        <v>15589.639030216777</v>
      </c>
      <c r="O5" s="14">
        <v>9325.6481600000006</v>
      </c>
      <c r="P5" s="14">
        <v>9662.7865600000005</v>
      </c>
      <c r="Q5" s="14">
        <v>10011.70896</v>
      </c>
      <c r="R5" s="14">
        <v>10746.1</v>
      </c>
    </row>
    <row r="6" spans="1:18" x14ac:dyDescent="0.25">
      <c r="A6" s="9">
        <f t="shared" si="6"/>
        <v>2029</v>
      </c>
      <c r="B6" s="15">
        <f t="shared" si="7"/>
        <v>33</v>
      </c>
      <c r="C6" s="14">
        <f t="shared" si="3"/>
        <v>3500</v>
      </c>
      <c r="D6" s="14">
        <f t="shared" si="8"/>
        <v>16665.794004765627</v>
      </c>
      <c r="E6" s="14">
        <f t="shared" si="4"/>
        <v>374.98036510722659</v>
      </c>
      <c r="F6" s="14">
        <f t="shared" si="5"/>
        <v>0</v>
      </c>
      <c r="G6" s="14">
        <f t="shared" si="0"/>
        <v>0</v>
      </c>
      <c r="H6" s="14">
        <f t="shared" si="9"/>
        <v>20540.774369872852</v>
      </c>
      <c r="I6" s="26">
        <f t="shared" si="2"/>
        <v>18791.590738598316</v>
      </c>
      <c r="O6" s="14">
        <v>11512.161123200001</v>
      </c>
      <c r="P6" s="14">
        <v>12049.2980224</v>
      </c>
      <c r="Q6" s="14">
        <v>12612.4114976</v>
      </c>
      <c r="R6" s="14">
        <v>13820.710000000001</v>
      </c>
    </row>
    <row r="7" spans="1:18" x14ac:dyDescent="0.25">
      <c r="A7" s="9">
        <f t="shared" si="6"/>
        <v>2030</v>
      </c>
      <c r="B7" s="15">
        <f t="shared" si="7"/>
        <v>34</v>
      </c>
      <c r="C7" s="14">
        <f t="shared" si="3"/>
        <v>3500</v>
      </c>
      <c r="D7" s="14">
        <f t="shared" si="8"/>
        <v>20540.774369872852</v>
      </c>
      <c r="E7" s="14">
        <f t="shared" si="4"/>
        <v>462.16742332213914</v>
      </c>
      <c r="F7" s="14">
        <f t="shared" si="5"/>
        <v>0</v>
      </c>
      <c r="G7" s="14">
        <f t="shared" si="0"/>
        <v>0</v>
      </c>
      <c r="H7" s="14">
        <f t="shared" si="9"/>
        <v>24502.94179319499</v>
      </c>
      <c r="I7" s="26">
        <f t="shared" si="2"/>
        <v>21923.083851929892</v>
      </c>
      <c r="O7" s="14">
        <v>13742.404345664001</v>
      </c>
      <c r="P7" s="14">
        <v>14531.269943296</v>
      </c>
      <c r="Q7" s="14">
        <v>15369.156187455999</v>
      </c>
      <c r="R7" s="14">
        <v>17202.781000000003</v>
      </c>
    </row>
    <row r="8" spans="1:18" x14ac:dyDescent="0.25">
      <c r="A8" s="9">
        <f t="shared" si="6"/>
        <v>2031</v>
      </c>
      <c r="B8" s="15">
        <f t="shared" si="7"/>
        <v>35</v>
      </c>
      <c r="C8" s="14">
        <f t="shared" si="3"/>
        <v>3500</v>
      </c>
      <c r="D8" s="14">
        <f t="shared" si="8"/>
        <v>24502.94179319499</v>
      </c>
      <c r="E8" s="14">
        <f t="shared" si="4"/>
        <v>551.31619034688731</v>
      </c>
      <c r="F8" s="14">
        <f t="shared" si="5"/>
        <v>0</v>
      </c>
      <c r="G8" s="14">
        <f t="shared" si="0"/>
        <v>0</v>
      </c>
      <c r="H8" s="14">
        <f t="shared" si="9"/>
        <v>28554.257983541876</v>
      </c>
      <c r="I8" s="26">
        <f t="shared" si="2"/>
        <v>24985.668803843415</v>
      </c>
      <c r="O8" s="14">
        <v>16017.252432577281</v>
      </c>
      <c r="P8" s="14">
        <v>17112.520741027838</v>
      </c>
      <c r="Q8" s="14">
        <v>18291.30555870336</v>
      </c>
      <c r="R8" s="14">
        <v>20923.059100000002</v>
      </c>
    </row>
    <row r="9" spans="1:18" x14ac:dyDescent="0.25">
      <c r="A9" s="9">
        <f t="shared" si="6"/>
        <v>2032</v>
      </c>
      <c r="B9" s="15">
        <f t="shared" si="7"/>
        <v>36</v>
      </c>
      <c r="C9" s="14">
        <f t="shared" si="3"/>
        <v>3500</v>
      </c>
      <c r="D9" s="14">
        <f t="shared" si="8"/>
        <v>28554.257983541876</v>
      </c>
      <c r="E9" s="14">
        <f t="shared" si="4"/>
        <v>642.47080462969222</v>
      </c>
      <c r="F9" s="14">
        <f t="shared" si="5"/>
        <v>0</v>
      </c>
      <c r="G9" s="14">
        <f t="shared" si="0"/>
        <v>0</v>
      </c>
      <c r="H9" s="14">
        <f t="shared" si="9"/>
        <v>32696.728788171567</v>
      </c>
      <c r="I9" s="26">
        <f t="shared" si="2"/>
        <v>27980.861910849311</v>
      </c>
      <c r="O9" s="14">
        <v>18337.59748122883</v>
      </c>
      <c r="P9" s="14">
        <v>19797.021570668952</v>
      </c>
      <c r="Q9" s="14">
        <v>21388.783892225561</v>
      </c>
      <c r="R9" s="14">
        <v>25015.365010000001</v>
      </c>
    </row>
    <row r="10" spans="1:18" x14ac:dyDescent="0.25">
      <c r="A10" s="9">
        <f t="shared" si="6"/>
        <v>2033</v>
      </c>
      <c r="B10" s="15">
        <f t="shared" si="7"/>
        <v>37</v>
      </c>
      <c r="C10" s="14">
        <f t="shared" si="3"/>
        <v>3500</v>
      </c>
      <c r="D10" s="14">
        <f t="shared" si="8"/>
        <v>32696.728788171567</v>
      </c>
      <c r="E10" s="14">
        <f t="shared" si="4"/>
        <v>735.6763977338602</v>
      </c>
      <c r="F10" s="14">
        <f t="shared" si="5"/>
        <v>0</v>
      </c>
      <c r="G10" s="14">
        <f t="shared" si="0"/>
        <v>0</v>
      </c>
      <c r="H10" s="14">
        <f t="shared" si="9"/>
        <v>36932.405185905431</v>
      </c>
      <c r="I10" s="26">
        <f t="shared" si="2"/>
        <v>30910.146123080016</v>
      </c>
      <c r="O10" s="14">
        <v>20704.349430853406</v>
      </c>
      <c r="P10" s="14">
        <v>22588.90243349571</v>
      </c>
      <c r="Q10" s="14">
        <v>24672.110925759094</v>
      </c>
      <c r="R10" s="14">
        <v>29516.901511000004</v>
      </c>
    </row>
    <row r="11" spans="1:18" x14ac:dyDescent="0.25">
      <c r="A11" s="9">
        <f t="shared" si="6"/>
        <v>2034</v>
      </c>
      <c r="B11" s="15">
        <f t="shared" si="7"/>
        <v>38</v>
      </c>
      <c r="C11" s="14">
        <f t="shared" si="3"/>
        <v>3500</v>
      </c>
      <c r="D11" s="14">
        <f t="shared" si="8"/>
        <v>36932.405185905431</v>
      </c>
      <c r="E11" s="14">
        <f t="shared" si="4"/>
        <v>830.97911668287213</v>
      </c>
      <c r="F11" s="14">
        <f t="shared" si="5"/>
        <v>0</v>
      </c>
      <c r="G11" s="14">
        <f t="shared" si="0"/>
        <v>0</v>
      </c>
      <c r="H11" s="14">
        <f t="shared" si="9"/>
        <v>41263.384302588303</v>
      </c>
      <c r="I11" s="26">
        <f t="shared" si="2"/>
        <v>33774.971758513471</v>
      </c>
      <c r="O11" s="14">
        <v>23118.436419470476</v>
      </c>
      <c r="P11" s="14">
        <v>25492.458530835538</v>
      </c>
      <c r="Q11" s="14">
        <v>28152.437581304639</v>
      </c>
      <c r="R11" s="14">
        <v>34468.591662100007</v>
      </c>
    </row>
    <row r="12" spans="1:18" x14ac:dyDescent="0.25">
      <c r="A12" s="9">
        <f t="shared" si="6"/>
        <v>2035</v>
      </c>
      <c r="B12" s="15">
        <f t="shared" si="7"/>
        <v>39</v>
      </c>
      <c r="C12" s="14">
        <f t="shared" si="3"/>
        <v>3500</v>
      </c>
      <c r="D12" s="14">
        <f t="shared" si="8"/>
        <v>41263.384302588303</v>
      </c>
      <c r="E12" s="14">
        <f t="shared" si="4"/>
        <v>928.42614680823681</v>
      </c>
      <c r="F12" s="14">
        <f t="shared" si="5"/>
        <v>0</v>
      </c>
      <c r="G12" s="14">
        <f t="shared" si="0"/>
        <v>0</v>
      </c>
      <c r="H12" s="14">
        <f t="shared" si="9"/>
        <v>45691.810449396537</v>
      </c>
      <c r="I12" s="26">
        <f t="shared" si="2"/>
        <v>36576.757221040069</v>
      </c>
      <c r="O12" s="14">
        <v>25580.805147859886</v>
      </c>
      <c r="P12" s="14">
        <v>28512.156872068961</v>
      </c>
      <c r="Q12" s="14">
        <v>31841.583836182916</v>
      </c>
      <c r="R12" s="14">
        <v>39915.450828310008</v>
      </c>
    </row>
    <row r="13" spans="1:18" x14ac:dyDescent="0.25">
      <c r="A13" s="9">
        <f t="shared" si="6"/>
        <v>2036</v>
      </c>
      <c r="B13" s="15">
        <f t="shared" si="7"/>
        <v>40</v>
      </c>
      <c r="C13" s="14">
        <f t="shared" si="3"/>
        <v>3500</v>
      </c>
      <c r="D13" s="14">
        <f t="shared" si="8"/>
        <v>45691.810449396537</v>
      </c>
      <c r="E13" s="14">
        <f t="shared" si="4"/>
        <v>1028.0657351114221</v>
      </c>
      <c r="F13" s="14">
        <f t="shared" si="5"/>
        <v>0</v>
      </c>
      <c r="G13" s="14">
        <f t="shared" si="0"/>
        <v>0</v>
      </c>
      <c r="H13" s="14">
        <f t="shared" si="9"/>
        <v>50219.876184507957</v>
      </c>
      <c r="I13" s="26">
        <f t="shared" si="2"/>
        <v>39316.88970272868</v>
      </c>
      <c r="O13" s="14">
        <v>28092.421250817086</v>
      </c>
      <c r="P13" s="14">
        <v>31652.643146951719</v>
      </c>
      <c r="Q13" s="14">
        <v>35752.078866353891</v>
      </c>
      <c r="R13" s="14">
        <v>45906.995911141006</v>
      </c>
    </row>
    <row r="14" spans="1:18" x14ac:dyDescent="0.25">
      <c r="A14" s="9">
        <f t="shared" si="6"/>
        <v>2037</v>
      </c>
      <c r="B14" s="15">
        <f t="shared" si="7"/>
        <v>41</v>
      </c>
      <c r="C14" s="14">
        <f t="shared" si="3"/>
        <v>3500</v>
      </c>
      <c r="D14" s="14">
        <f t="shared" si="8"/>
        <v>50219.876184507957</v>
      </c>
      <c r="E14" s="14">
        <f t="shared" si="4"/>
        <v>1129.9472141514291</v>
      </c>
      <c r="F14" s="14">
        <f t="shared" si="5"/>
        <v>0</v>
      </c>
      <c r="G14" s="14">
        <f t="shared" si="0"/>
        <v>0</v>
      </c>
      <c r="H14" s="14">
        <f t="shared" si="9"/>
        <v>54849.823398659384</v>
      </c>
      <c r="I14" s="26">
        <f t="shared" si="2"/>
        <v>41996.725870639297</v>
      </c>
      <c r="O14" s="14">
        <v>30654.269675833428</v>
      </c>
      <c r="P14" s="14">
        <v>34918.74887282979</v>
      </c>
      <c r="Q14" s="14">
        <v>39897.203598335123</v>
      </c>
      <c r="R14" s="14">
        <v>52497.695502255105</v>
      </c>
    </row>
    <row r="15" spans="1:18" x14ac:dyDescent="0.25">
      <c r="A15" s="9">
        <f t="shared" si="6"/>
        <v>2038</v>
      </c>
      <c r="B15" s="15">
        <f t="shared" si="7"/>
        <v>42</v>
      </c>
      <c r="C15" s="14">
        <f t="shared" si="3"/>
        <v>3500</v>
      </c>
      <c r="D15" s="14">
        <f t="shared" si="8"/>
        <v>54849.823398659384</v>
      </c>
      <c r="E15" s="14">
        <f t="shared" si="4"/>
        <v>1234.1210264698361</v>
      </c>
      <c r="F15" s="14">
        <f t="shared" si="5"/>
        <v>0</v>
      </c>
      <c r="G15" s="14">
        <f t="shared" si="0"/>
        <v>0</v>
      </c>
      <c r="H15" s="14">
        <f t="shared" si="9"/>
        <v>59583.944425129223</v>
      </c>
      <c r="I15" s="26">
        <f t="shared" si="2"/>
        <v>44617.592538522542</v>
      </c>
      <c r="O15" s="14">
        <v>33267.355069350095</v>
      </c>
      <c r="P15" s="14">
        <v>38315.49882774298</v>
      </c>
      <c r="Q15" s="14">
        <v>44291.035814235234</v>
      </c>
      <c r="R15" s="14">
        <v>59747.465052480613</v>
      </c>
    </row>
    <row r="16" spans="1:18" x14ac:dyDescent="0.25">
      <c r="A16" s="9">
        <f t="shared" si="6"/>
        <v>2039</v>
      </c>
      <c r="B16" s="15">
        <f t="shared" si="7"/>
        <v>43</v>
      </c>
      <c r="C16" s="14">
        <f t="shared" si="3"/>
        <v>3500</v>
      </c>
      <c r="D16" s="14">
        <f t="shared" si="8"/>
        <v>59583.944425129223</v>
      </c>
      <c r="E16" s="14">
        <f t="shared" si="4"/>
        <v>1340.6387495654074</v>
      </c>
      <c r="F16" s="14">
        <f t="shared" si="5"/>
        <v>0</v>
      </c>
      <c r="G16" s="14">
        <f t="shared" si="0"/>
        <v>0</v>
      </c>
      <c r="H16" s="14">
        <f t="shared" si="9"/>
        <v>64424.583174694628</v>
      </c>
      <c r="I16" s="26">
        <f t="shared" si="2"/>
        <v>47180.787323738426</v>
      </c>
      <c r="O16" s="14">
        <v>35932.702170737095</v>
      </c>
      <c r="P16" s="14">
        <v>41848.118780852703</v>
      </c>
      <c r="Q16" s="14">
        <v>48948.49796308935</v>
      </c>
      <c r="R16" s="14">
        <v>67722.211557728675</v>
      </c>
    </row>
    <row r="17" spans="1:18" x14ac:dyDescent="0.25">
      <c r="A17" s="9">
        <f t="shared" si="6"/>
        <v>2040</v>
      </c>
      <c r="B17" s="15">
        <f t="shared" si="7"/>
        <v>44</v>
      </c>
      <c r="C17" s="14">
        <f t="shared" si="3"/>
        <v>3500</v>
      </c>
      <c r="D17" s="14">
        <f t="shared" si="8"/>
        <v>64424.583174694628</v>
      </c>
      <c r="E17" s="14">
        <f t="shared" si="4"/>
        <v>1449.5531214306291</v>
      </c>
      <c r="F17" s="14">
        <f t="shared" si="5"/>
        <v>0</v>
      </c>
      <c r="G17" s="14">
        <f t="shared" si="0"/>
        <v>0</v>
      </c>
      <c r="H17" s="14">
        <f t="shared" si="9"/>
        <v>69374.136296125245</v>
      </c>
      <c r="I17" s="26">
        <f t="shared" si="2"/>
        <v>49687.579289719732</v>
      </c>
      <c r="O17" s="14">
        <v>38651.356214151834</v>
      </c>
      <c r="P17" s="14">
        <v>45522.043532086813</v>
      </c>
      <c r="Q17" s="14">
        <v>53885.407840874708</v>
      </c>
      <c r="R17" s="14">
        <v>76494.432713501548</v>
      </c>
    </row>
    <row r="18" spans="1:18" x14ac:dyDescent="0.25">
      <c r="A18" s="9">
        <f t="shared" si="6"/>
        <v>2041</v>
      </c>
      <c r="B18" s="15">
        <f t="shared" si="7"/>
        <v>45</v>
      </c>
      <c r="C18" s="14">
        <f t="shared" si="3"/>
        <v>3500</v>
      </c>
      <c r="D18" s="14">
        <f t="shared" si="8"/>
        <v>69374.136296125245</v>
      </c>
      <c r="E18" s="14">
        <f t="shared" si="4"/>
        <v>1560.9180666628179</v>
      </c>
      <c r="F18" s="14">
        <f t="shared" si="5"/>
        <v>0</v>
      </c>
      <c r="G18" s="14">
        <f t="shared" si="0"/>
        <v>0</v>
      </c>
      <c r="H18" s="14">
        <f t="shared" si="9"/>
        <v>74435.054362788069</v>
      </c>
      <c r="I18" s="26">
        <f t="shared" si="2"/>
        <v>52139.209574298045</v>
      </c>
      <c r="O18" s="14">
        <v>41424.383338434869</v>
      </c>
      <c r="P18" s="14">
        <v>49342.925273370289</v>
      </c>
      <c r="Q18" s="14">
        <v>59118.532311327188</v>
      </c>
      <c r="R18" s="14">
        <v>86143.875984851707</v>
      </c>
    </row>
    <row r="19" spans="1:18" x14ac:dyDescent="0.25">
      <c r="A19" s="9">
        <f t="shared" si="6"/>
        <v>2042</v>
      </c>
      <c r="B19" s="15">
        <f t="shared" si="7"/>
        <v>46</v>
      </c>
      <c r="C19" s="14">
        <f t="shared" si="3"/>
        <v>3500</v>
      </c>
      <c r="D19" s="14">
        <f t="shared" si="8"/>
        <v>74435.054362788069</v>
      </c>
      <c r="E19" s="14">
        <f t="shared" si="4"/>
        <v>1674.7887231627315</v>
      </c>
      <c r="F19" s="14">
        <f t="shared" si="5"/>
        <v>0</v>
      </c>
      <c r="G19" s="14">
        <f t="shared" si="0"/>
        <v>0</v>
      </c>
      <c r="H19" s="14">
        <f t="shared" si="9"/>
        <v>79609.843085950793</v>
      </c>
      <c r="I19" s="26">
        <f t="shared" si="2"/>
        <v>54536.892004203466</v>
      </c>
      <c r="O19" s="14">
        <v>44252.871005203568</v>
      </c>
      <c r="P19" s="14">
        <v>53316.642284305097</v>
      </c>
      <c r="Q19" s="14">
        <v>64665.644250006822</v>
      </c>
      <c r="R19" s="14">
        <v>96758.263583336884</v>
      </c>
    </row>
    <row r="20" spans="1:18" x14ac:dyDescent="0.25">
      <c r="A20" s="9">
        <f t="shared" si="6"/>
        <v>2043</v>
      </c>
      <c r="B20" s="15">
        <f t="shared" si="7"/>
        <v>47</v>
      </c>
      <c r="C20" s="14">
        <f t="shared" si="3"/>
        <v>3500</v>
      </c>
      <c r="D20" s="14">
        <f t="shared" si="8"/>
        <v>79609.843085950793</v>
      </c>
      <c r="E20" s="14">
        <f t="shared" si="4"/>
        <v>1791.2214694338927</v>
      </c>
      <c r="F20" s="14">
        <f t="shared" si="5"/>
        <v>0</v>
      </c>
      <c r="G20" s="14">
        <f t="shared" si="0"/>
        <v>0</v>
      </c>
      <c r="H20" s="14">
        <f t="shared" si="9"/>
        <v>84901.064555384684</v>
      </c>
      <c r="I20" s="26">
        <f t="shared" si="2"/>
        <v>56881.813696042518</v>
      </c>
      <c r="O20" s="14">
        <v>47137.92842530764</v>
      </c>
      <c r="P20" s="14">
        <v>57449.3079756773</v>
      </c>
      <c r="Q20" s="14">
        <v>70545.582905007235</v>
      </c>
      <c r="R20" s="14">
        <v>108434.08994167057</v>
      </c>
    </row>
    <row r="21" spans="1:18" x14ac:dyDescent="0.25">
      <c r="A21" s="9">
        <f t="shared" si="6"/>
        <v>2044</v>
      </c>
      <c r="B21" s="15">
        <f t="shared" si="7"/>
        <v>48</v>
      </c>
      <c r="C21" s="14">
        <f t="shared" si="3"/>
        <v>3500</v>
      </c>
      <c r="D21" s="14">
        <f t="shared" si="8"/>
        <v>84901.064555384684</v>
      </c>
      <c r="E21" s="14">
        <f t="shared" si="4"/>
        <v>1910.2739524961553</v>
      </c>
      <c r="F21" s="14">
        <f t="shared" si="5"/>
        <v>0</v>
      </c>
      <c r="G21" s="14">
        <f t="shared" si="0"/>
        <v>0</v>
      </c>
      <c r="H21" s="14">
        <f t="shared" si="9"/>
        <v>90311.338507880835</v>
      </c>
      <c r="I21" s="26">
        <f t="shared" si="2"/>
        <v>59175.135644051363</v>
      </c>
      <c r="O21" s="14">
        <v>50080.68699381379</v>
      </c>
      <c r="P21" s="14">
        <v>61747.280294704389</v>
      </c>
      <c r="Q21" s="14">
        <v>76778.317879307666</v>
      </c>
      <c r="R21" s="14">
        <v>121277.49893583762</v>
      </c>
    </row>
    <row r="22" spans="1:18" x14ac:dyDescent="0.25">
      <c r="A22" s="9">
        <f t="shared" si="6"/>
        <v>2045</v>
      </c>
      <c r="B22" s="15">
        <f t="shared" si="7"/>
        <v>49</v>
      </c>
      <c r="C22" s="14">
        <f t="shared" si="3"/>
        <v>3500</v>
      </c>
      <c r="D22" s="14">
        <f t="shared" si="8"/>
        <v>90311.338507880835</v>
      </c>
      <c r="E22" s="14">
        <f t="shared" si="4"/>
        <v>2032.0051164273186</v>
      </c>
      <c r="F22" s="14">
        <f t="shared" si="5"/>
        <v>0</v>
      </c>
      <c r="G22" s="14">
        <f t="shared" si="0"/>
        <v>0</v>
      </c>
      <c r="H22" s="14">
        <f t="shared" si="9"/>
        <v>95843.343624308152</v>
      </c>
      <c r="I22" s="26">
        <f t="shared" si="2"/>
        <v>61417.993294915759</v>
      </c>
      <c r="O22" s="14">
        <v>53082.300733690063</v>
      </c>
      <c r="P22" s="14">
        <v>66217.171506492567</v>
      </c>
      <c r="Q22" s="14">
        <v>83385.016952066129</v>
      </c>
      <c r="R22" s="14">
        <v>135405.24882942138</v>
      </c>
    </row>
    <row r="23" spans="1:18" x14ac:dyDescent="0.25">
      <c r="A23" s="9">
        <f t="shared" si="6"/>
        <v>2046</v>
      </c>
      <c r="B23" s="15">
        <f t="shared" si="7"/>
        <v>50</v>
      </c>
      <c r="C23" s="14">
        <f t="shared" si="3"/>
        <v>3500</v>
      </c>
      <c r="D23" s="14">
        <f t="shared" si="8"/>
        <v>95843.343624308152</v>
      </c>
      <c r="E23" s="14">
        <f t="shared" si="4"/>
        <v>2156.4752315469332</v>
      </c>
      <c r="F23" s="14">
        <f t="shared" si="5"/>
        <v>0</v>
      </c>
      <c r="G23" s="14">
        <f t="shared" si="0"/>
        <v>0</v>
      </c>
      <c r="H23" s="14">
        <f t="shared" si="9"/>
        <v>101499.81885585509</v>
      </c>
      <c r="I23" s="26">
        <f t="shared" si="2"/>
        <v>63611.497109942073</v>
      </c>
      <c r="O23" s="14">
        <v>56143.946748363865</v>
      </c>
      <c r="P23" s="14">
        <v>70865.858366752276</v>
      </c>
      <c r="Q23" s="14">
        <v>90388.117969190091</v>
      </c>
      <c r="R23" s="14">
        <v>150945.77371236353</v>
      </c>
    </row>
    <row r="24" spans="1:18" x14ac:dyDescent="0.25">
      <c r="A24" s="9">
        <f t="shared" si="6"/>
        <v>2047</v>
      </c>
      <c r="B24" s="15">
        <f t="shared" si="7"/>
        <v>51</v>
      </c>
      <c r="C24" s="14">
        <f t="shared" si="3"/>
        <v>3500</v>
      </c>
      <c r="D24" s="14">
        <f t="shared" si="8"/>
        <v>101499.81885585509</v>
      </c>
      <c r="E24" s="14">
        <f t="shared" si="4"/>
        <v>2283.7459242567393</v>
      </c>
      <c r="F24" s="14">
        <f t="shared" si="5"/>
        <v>0</v>
      </c>
      <c r="G24" s="14">
        <f t="shared" si="0"/>
        <v>0</v>
      </c>
      <c r="H24" s="14">
        <f t="shared" si="9"/>
        <v>107283.56478011183</v>
      </c>
      <c r="I24" s="26">
        <f t="shared" si="2"/>
        <v>65756.73311485778</v>
      </c>
      <c r="O24" s="14">
        <v>59266.825683331146</v>
      </c>
      <c r="P24" s="14">
        <v>75700.492701422365</v>
      </c>
      <c r="Q24" s="14">
        <v>97811.405047341497</v>
      </c>
      <c r="R24" s="14">
        <v>168040.35108359987</v>
      </c>
    </row>
    <row r="25" spans="1:18" x14ac:dyDescent="0.25">
      <c r="A25" s="9">
        <f t="shared" si="6"/>
        <v>2048</v>
      </c>
      <c r="B25" s="15">
        <f t="shared" si="7"/>
        <v>52</v>
      </c>
      <c r="C25" s="14">
        <f t="shared" si="3"/>
        <v>3500</v>
      </c>
      <c r="D25" s="14">
        <f t="shared" si="8"/>
        <v>107283.56478011183</v>
      </c>
      <c r="E25" s="14">
        <f t="shared" si="4"/>
        <v>2413.8802075525159</v>
      </c>
      <c r="F25" s="14">
        <f t="shared" si="5"/>
        <v>0</v>
      </c>
      <c r="G25" s="14">
        <f t="shared" si="0"/>
        <v>0</v>
      </c>
      <c r="H25" s="14">
        <f t="shared" si="9"/>
        <v>113197.44498766435</v>
      </c>
      <c r="I25" s="26">
        <f t="shared" si="2"/>
        <v>67854.763437513742</v>
      </c>
      <c r="O25" s="14">
        <v>62452.162196997771</v>
      </c>
      <c r="P25" s="14">
        <v>80728.512409479255</v>
      </c>
      <c r="Q25" s="14">
        <v>105680.08935018198</v>
      </c>
      <c r="R25" s="14">
        <v>186844.38619195987</v>
      </c>
    </row>
    <row r="26" spans="1:18" x14ac:dyDescent="0.25">
      <c r="A26" s="9">
        <f t="shared" si="6"/>
        <v>2049</v>
      </c>
      <c r="B26" s="15">
        <f t="shared" si="7"/>
        <v>53</v>
      </c>
      <c r="C26" s="14">
        <f t="shared" si="3"/>
        <v>3500</v>
      </c>
      <c r="D26" s="14">
        <f t="shared" si="8"/>
        <v>113197.44498766435</v>
      </c>
      <c r="E26" s="14">
        <f t="shared" si="4"/>
        <v>2546.9425122224479</v>
      </c>
      <c r="F26" s="14">
        <f t="shared" si="5"/>
        <v>0</v>
      </c>
      <c r="G26" s="14">
        <f t="shared" si="0"/>
        <v>0</v>
      </c>
      <c r="H26" s="14">
        <f t="shared" si="9"/>
        <v>119244.3874998868</v>
      </c>
      <c r="I26" s="26">
        <f t="shared" si="2"/>
        <v>69906.626833754272</v>
      </c>
      <c r="O26" s="14">
        <v>65701.205440937731</v>
      </c>
      <c r="P26" s="14">
        <v>85957.652905858427</v>
      </c>
      <c r="Q26" s="14">
        <v>114020.8947111929</v>
      </c>
      <c r="R26" s="14">
        <v>207528.82481115585</v>
      </c>
    </row>
    <row r="27" spans="1:18" x14ac:dyDescent="0.25">
      <c r="A27" s="9">
        <f t="shared" si="6"/>
        <v>2050</v>
      </c>
      <c r="B27" s="15">
        <f t="shared" si="7"/>
        <v>54</v>
      </c>
      <c r="C27" s="14">
        <f t="shared" si="3"/>
        <v>3500</v>
      </c>
      <c r="D27" s="14">
        <f t="shared" si="8"/>
        <v>119244.3874998868</v>
      </c>
      <c r="E27" s="14">
        <f t="shared" si="4"/>
        <v>2682.998718747453</v>
      </c>
      <c r="F27" s="14">
        <f t="shared" si="5"/>
        <v>0</v>
      </c>
      <c r="G27" s="14">
        <f t="shared" si="0"/>
        <v>0</v>
      </c>
      <c r="H27" s="14">
        <f t="shared" si="9"/>
        <v>125427.38621863424</v>
      </c>
      <c r="I27" s="26">
        <f t="shared" si="2"/>
        <v>71913.339201715688</v>
      </c>
      <c r="O27" s="14">
        <v>69015.229549756492</v>
      </c>
      <c r="P27" s="14">
        <v>91395.959022092764</v>
      </c>
      <c r="Q27" s="14">
        <v>122862.14839386448</v>
      </c>
      <c r="R27" s="14">
        <v>230281.70729227143</v>
      </c>
    </row>
    <row r="28" spans="1:18" x14ac:dyDescent="0.25">
      <c r="A28" s="9">
        <f t="shared" si="6"/>
        <v>2051</v>
      </c>
      <c r="B28" s="15">
        <f t="shared" si="7"/>
        <v>55</v>
      </c>
      <c r="C28" s="14">
        <f t="shared" si="3"/>
        <v>3500</v>
      </c>
      <c r="D28" s="14">
        <f t="shared" si="8"/>
        <v>125427.38621863424</v>
      </c>
      <c r="E28" s="14">
        <f t="shared" si="4"/>
        <v>2822.1161899192703</v>
      </c>
      <c r="F28" s="14">
        <f t="shared" si="5"/>
        <v>0</v>
      </c>
      <c r="G28" s="14">
        <f t="shared" si="0"/>
        <v>0</v>
      </c>
      <c r="H28" s="14">
        <f t="shared" si="9"/>
        <v>131749.50240855353</v>
      </c>
      <c r="I28" s="26">
        <f t="shared" si="2"/>
        <v>73875.894084807529</v>
      </c>
      <c r="O28" s="14">
        <v>72395.534140751624</v>
      </c>
      <c r="P28" s="14">
        <v>97051.797382976481</v>
      </c>
      <c r="Q28" s="14">
        <v>132233.87729749636</v>
      </c>
      <c r="R28" s="14">
        <v>255309.87802149856</v>
      </c>
    </row>
    <row r="29" spans="1:18" x14ac:dyDescent="0.25">
      <c r="A29" s="9">
        <f t="shared" si="6"/>
        <v>2052</v>
      </c>
      <c r="B29" s="15">
        <f t="shared" si="7"/>
        <v>56</v>
      </c>
      <c r="C29" s="14">
        <f t="shared" si="3"/>
        <v>3500</v>
      </c>
      <c r="D29" s="14">
        <f t="shared" si="8"/>
        <v>131749.50240855353</v>
      </c>
      <c r="E29" s="14">
        <f t="shared" si="4"/>
        <v>2964.3638041924542</v>
      </c>
      <c r="F29" s="14">
        <f t="shared" si="5"/>
        <v>0</v>
      </c>
      <c r="G29" s="14">
        <f t="shared" si="0"/>
        <v>0</v>
      </c>
      <c r="H29" s="14">
        <f t="shared" si="9"/>
        <v>138213.86621274598</v>
      </c>
      <c r="I29" s="26">
        <f t="shared" si="2"/>
        <v>75795.263163625961</v>
      </c>
      <c r="O29" s="14">
        <v>75843.44482356665</v>
      </c>
      <c r="P29" s="14">
        <v>102933.86927829555</v>
      </c>
      <c r="Q29" s="14">
        <v>142167.90993534614</v>
      </c>
      <c r="R29" s="14">
        <v>282840.8658236484</v>
      </c>
    </row>
    <row r="30" spans="1:18" x14ac:dyDescent="0.25">
      <c r="A30" s="9">
        <f t="shared" si="6"/>
        <v>2053</v>
      </c>
      <c r="B30" s="15">
        <f t="shared" si="7"/>
        <v>57</v>
      </c>
      <c r="C30" s="14">
        <f t="shared" si="3"/>
        <v>3500</v>
      </c>
      <c r="D30" s="14">
        <f t="shared" si="8"/>
        <v>138213.86621274598</v>
      </c>
      <c r="E30" s="14">
        <f t="shared" si="4"/>
        <v>3109.8119897867846</v>
      </c>
      <c r="F30" s="14">
        <f t="shared" si="5"/>
        <v>0</v>
      </c>
      <c r="G30" s="14">
        <f t="shared" si="0"/>
        <v>0</v>
      </c>
      <c r="H30" s="14">
        <f t="shared" si="9"/>
        <v>144823.67820253276</v>
      </c>
      <c r="I30" s="26">
        <f t="shared" si="2"/>
        <v>77672.396737042494</v>
      </c>
      <c r="O30" s="14">
        <v>79360.313720037986</v>
      </c>
      <c r="P30" s="14">
        <v>109051.22404942737</v>
      </c>
      <c r="Q30" s="14">
        <v>152697.98453146691</v>
      </c>
      <c r="R30" s="14">
        <v>313124.95240601327</v>
      </c>
    </row>
    <row r="31" spans="1:18" x14ac:dyDescent="0.25">
      <c r="A31" s="9">
        <f t="shared" si="6"/>
        <v>2054</v>
      </c>
      <c r="B31" s="15">
        <f t="shared" si="7"/>
        <v>58</v>
      </c>
      <c r="C31" s="14">
        <f t="shared" si="3"/>
        <v>3500</v>
      </c>
      <c r="D31" s="14">
        <f t="shared" si="8"/>
        <v>144823.67820253276</v>
      </c>
      <c r="E31" s="14">
        <f t="shared" si="4"/>
        <v>3258.532759556987</v>
      </c>
      <c r="F31" s="14">
        <f t="shared" si="5"/>
        <v>0</v>
      </c>
      <c r="G31" s="14">
        <f t="shared" si="0"/>
        <v>0</v>
      </c>
      <c r="H31" s="14">
        <f t="shared" si="9"/>
        <v>151582.21096208974</v>
      </c>
      <c r="I31" s="26">
        <f t="shared" si="2"/>
        <v>79508.224192706606</v>
      </c>
      <c r="O31" s="14">
        <v>82947.519994438742</v>
      </c>
      <c r="P31" s="14">
        <v>115413.27301140447</v>
      </c>
      <c r="Q31" s="14">
        <v>163859.86360335493</v>
      </c>
      <c r="R31" s="14">
        <v>346437.44764661457</v>
      </c>
    </row>
    <row r="32" spans="1:18" x14ac:dyDescent="0.25">
      <c r="A32" s="9">
        <f t="shared" si="6"/>
        <v>2055</v>
      </c>
      <c r="B32" s="15">
        <f t="shared" si="7"/>
        <v>59</v>
      </c>
      <c r="C32" s="14">
        <f t="shared" si="3"/>
        <v>3500</v>
      </c>
      <c r="D32" s="14">
        <f t="shared" si="8"/>
        <v>151582.21096208974</v>
      </c>
      <c r="E32" s="14">
        <f t="shared" si="4"/>
        <v>3410.5997466470189</v>
      </c>
      <c r="F32" s="14">
        <f t="shared" si="5"/>
        <v>0</v>
      </c>
      <c r="G32" s="14">
        <f t="shared" si="0"/>
        <v>0</v>
      </c>
      <c r="H32" s="14">
        <f t="shared" si="9"/>
        <v>158492.81070873677</v>
      </c>
      <c r="I32" s="26">
        <f t="shared" si="2"/>
        <v>81303.654467194734</v>
      </c>
      <c r="O32" s="14">
        <v>86606.470394327524</v>
      </c>
      <c r="P32" s="14">
        <v>122029.80393186065</v>
      </c>
      <c r="Q32" s="14">
        <v>175691.45541955621</v>
      </c>
      <c r="R32" s="14">
        <v>383081.19241127605</v>
      </c>
    </row>
    <row r="33" spans="1:18" x14ac:dyDescent="0.25">
      <c r="A33" s="9">
        <f t="shared" si="6"/>
        <v>2056</v>
      </c>
      <c r="B33" s="15">
        <f t="shared" si="7"/>
        <v>60</v>
      </c>
      <c r="C33" s="14">
        <f t="shared" si="3"/>
        <v>3500</v>
      </c>
      <c r="D33" s="14">
        <f t="shared" si="8"/>
        <v>158492.81070873677</v>
      </c>
      <c r="E33" s="14">
        <f t="shared" si="4"/>
        <v>3566.0882409465771</v>
      </c>
      <c r="F33" s="14">
        <f t="shared" si="5"/>
        <v>0</v>
      </c>
      <c r="G33" s="14">
        <f t="shared" si="0"/>
        <v>0</v>
      </c>
      <c r="H33" s="14">
        <f t="shared" si="9"/>
        <v>165558.89894968335</v>
      </c>
      <c r="I33" s="26">
        <f t="shared" si="2"/>
        <v>83059.576496033987</v>
      </c>
      <c r="O33" s="14">
        <v>90338.59980221407</v>
      </c>
      <c r="P33" s="14">
        <v>128910.99608913508</v>
      </c>
      <c r="Q33" s="14">
        <v>188232.94274472957</v>
      </c>
      <c r="R33" s="14">
        <v>423389.31165240367</v>
      </c>
    </row>
    <row r="34" spans="1:18" x14ac:dyDescent="0.25">
      <c r="A34" s="9">
        <f t="shared" si="6"/>
        <v>2057</v>
      </c>
      <c r="B34" s="15">
        <f t="shared" si="7"/>
        <v>61</v>
      </c>
      <c r="C34" s="14">
        <f t="shared" si="3"/>
        <v>3500</v>
      </c>
      <c r="D34" s="14">
        <f t="shared" si="8"/>
        <v>165558.89894968335</v>
      </c>
      <c r="E34" s="14">
        <f t="shared" si="4"/>
        <v>3725.0752263678751</v>
      </c>
      <c r="F34" s="14">
        <f t="shared" si="5"/>
        <v>0</v>
      </c>
      <c r="G34" s="14">
        <f t="shared" ref="G34:G65" si="10">IF(B34&lt;retirement_age,0,
   D34*withdrawal_rate*(1+inflation_rate)^(B34-retirement_age))</f>
        <v>0</v>
      </c>
      <c r="H34" s="14">
        <f t="shared" si="9"/>
        <v>172783.97417605124</v>
      </c>
      <c r="I34" s="26">
        <f t="shared" ref="I34:I65" si="11">H34 / (1 + inflation)^(A34 - start_year)</f>
        <v>84776.859653823005</v>
      </c>
      <c r="O34" s="14">
        <v>94145.371798258348</v>
      </c>
      <c r="P34" s="14">
        <v>136067.43593270049</v>
      </c>
      <c r="Q34" s="14">
        <v>201526.91930941335</v>
      </c>
      <c r="R34" s="14">
        <v>467728.24281764403</v>
      </c>
    </row>
    <row r="35" spans="1:18" x14ac:dyDescent="0.25">
      <c r="A35" s="9">
        <f t="shared" si="6"/>
        <v>2058</v>
      </c>
      <c r="B35" s="15">
        <f t="shared" si="7"/>
        <v>62</v>
      </c>
      <c r="C35" s="14">
        <f t="shared" ref="C35:C66" si="12">IF(B35 &lt; retirement_age, annual_contribution, 0)</f>
        <v>3500</v>
      </c>
      <c r="D35" s="14">
        <f t="shared" si="8"/>
        <v>172783.97417605124</v>
      </c>
      <c r="E35" s="14">
        <f t="shared" ref="E35:E66" si="13">D35 * return_rate</f>
        <v>3887.6394189611528</v>
      </c>
      <c r="F35" s="14">
        <f t="shared" ref="F35:F66" si="14">IF(B35&gt;= retirement_age, D35*withdrawal_rate, 0)</f>
        <v>0</v>
      </c>
      <c r="G35" s="14">
        <f t="shared" si="10"/>
        <v>0</v>
      </c>
      <c r="H35" s="14">
        <f t="shared" si="9"/>
        <v>180171.6135950124</v>
      </c>
      <c r="I35" s="26">
        <f t="shared" si="11"/>
        <v>86456.354184667987</v>
      </c>
      <c r="O35" s="14">
        <v>98028.279234223519</v>
      </c>
      <c r="P35" s="14">
        <v>143510.13337000852</v>
      </c>
      <c r="Q35" s="14">
        <v>215618.53446797814</v>
      </c>
      <c r="R35" s="14">
        <v>516501.06709940842</v>
      </c>
    </row>
    <row r="36" spans="1:18" x14ac:dyDescent="0.25">
      <c r="A36" s="9">
        <f t="shared" si="6"/>
        <v>2059</v>
      </c>
      <c r="B36" s="15">
        <f t="shared" si="7"/>
        <v>63</v>
      </c>
      <c r="C36" s="14">
        <f t="shared" si="12"/>
        <v>3500</v>
      </c>
      <c r="D36" s="14">
        <f t="shared" si="8"/>
        <v>180171.6135950124</v>
      </c>
      <c r="E36" s="14">
        <f t="shared" si="13"/>
        <v>4053.8613058877791</v>
      </c>
      <c r="F36" s="14">
        <f t="shared" si="14"/>
        <v>0</v>
      </c>
      <c r="G36" s="14">
        <f t="shared" si="10"/>
        <v>0</v>
      </c>
      <c r="H36" s="14">
        <f t="shared" si="9"/>
        <v>187725.47490090018</v>
      </c>
      <c r="I36" s="26">
        <f t="shared" si="11"/>
        <v>88098.891623147196</v>
      </c>
      <c r="O36" s="14">
        <v>101988.84481890799</v>
      </c>
      <c r="P36" s="14">
        <v>151250.53870480886</v>
      </c>
      <c r="Q36" s="14">
        <v>230555.64653605683</v>
      </c>
      <c r="R36" s="14">
        <v>570151.1738093493</v>
      </c>
    </row>
    <row r="37" spans="1:18" x14ac:dyDescent="0.25">
      <c r="A37" s="9">
        <f t="shared" si="6"/>
        <v>2060</v>
      </c>
      <c r="B37" s="15">
        <f t="shared" si="7"/>
        <v>64</v>
      </c>
      <c r="C37" s="14">
        <f t="shared" si="12"/>
        <v>3500</v>
      </c>
      <c r="D37" s="14">
        <f t="shared" si="8"/>
        <v>187725.47490090018</v>
      </c>
      <c r="E37" s="14">
        <f t="shared" si="13"/>
        <v>4223.8231852702538</v>
      </c>
      <c r="F37" s="14">
        <f t="shared" si="14"/>
        <v>0</v>
      </c>
      <c r="G37" s="14">
        <f t="shared" si="10"/>
        <v>0</v>
      </c>
      <c r="H37" s="14">
        <f t="shared" si="9"/>
        <v>195449.29808617043</v>
      </c>
      <c r="I37" s="26">
        <f t="shared" si="11"/>
        <v>89705.285206011933</v>
      </c>
      <c r="O37" s="14">
        <v>106028.62171528615</v>
      </c>
      <c r="P37" s="14">
        <v>159300.56025300123</v>
      </c>
      <c r="Q37" s="14">
        <v>246388.98532822024</v>
      </c>
      <c r="R37" s="14">
        <v>629166.29119028419</v>
      </c>
    </row>
    <row r="38" spans="1:18" x14ac:dyDescent="0.25">
      <c r="A38" s="9">
        <f t="shared" si="6"/>
        <v>2061</v>
      </c>
      <c r="B38" s="15">
        <f t="shared" si="7"/>
        <v>65</v>
      </c>
      <c r="C38" s="14">
        <f t="shared" si="12"/>
        <v>0</v>
      </c>
      <c r="D38" s="14">
        <f t="shared" si="8"/>
        <v>195449.29808617043</v>
      </c>
      <c r="E38" s="14">
        <f t="shared" si="13"/>
        <v>4397.6092069388342</v>
      </c>
      <c r="F38" s="14">
        <f t="shared" si="14"/>
        <v>11726.957885170224</v>
      </c>
      <c r="G38" s="14">
        <f t="shared" si="10"/>
        <v>11726.957885170224</v>
      </c>
      <c r="H38" s="14">
        <f t="shared" si="9"/>
        <v>188119.94940793904</v>
      </c>
      <c r="I38" s="26">
        <f t="shared" si="11"/>
        <v>84441.405389522246</v>
      </c>
      <c r="O38" s="14">
        <v>110149.19414959187</v>
      </c>
      <c r="P38" s="14">
        <v>167672.58266312128</v>
      </c>
      <c r="Q38" s="14">
        <v>263172.32444791344</v>
      </c>
      <c r="R38" s="14">
        <v>694082.92030931264</v>
      </c>
    </row>
    <row r="39" spans="1:18" x14ac:dyDescent="0.25">
      <c r="A39" s="9">
        <f t="shared" si="6"/>
        <v>2062</v>
      </c>
      <c r="B39" s="15">
        <f t="shared" si="7"/>
        <v>66</v>
      </c>
      <c r="C39" s="14">
        <f t="shared" si="12"/>
        <v>0</v>
      </c>
      <c r="D39" s="14">
        <f t="shared" si="8"/>
        <v>188119.94940793904</v>
      </c>
      <c r="E39" s="14">
        <f t="shared" si="13"/>
        <v>4232.6988616786284</v>
      </c>
      <c r="F39" s="14">
        <f t="shared" si="14"/>
        <v>11287.196964476341</v>
      </c>
      <c r="G39" s="14">
        <f t="shared" si="10"/>
        <v>11541.158896177058</v>
      </c>
      <c r="H39" s="14">
        <f t="shared" si="9"/>
        <v>181065.45130514132</v>
      </c>
      <c r="I39" s="26">
        <f t="shared" si="11"/>
        <v>79486.40849624954</v>
      </c>
      <c r="O39" s="14">
        <v>114352.17803258372</v>
      </c>
      <c r="P39" s="14">
        <v>176379.48596964614</v>
      </c>
      <c r="Q39" s="14">
        <v>280962.66391478822</v>
      </c>
      <c r="R39" s="14">
        <v>765491.21234024386</v>
      </c>
    </row>
    <row r="40" spans="1:18" x14ac:dyDescent="0.25">
      <c r="A40" s="9">
        <f t="shared" si="6"/>
        <v>2063</v>
      </c>
      <c r="B40" s="15">
        <f t="shared" si="7"/>
        <v>67</v>
      </c>
      <c r="C40" s="14">
        <f t="shared" si="12"/>
        <v>0</v>
      </c>
      <c r="D40" s="14">
        <f t="shared" si="8"/>
        <v>181065.45130514132</v>
      </c>
      <c r="E40" s="14">
        <f t="shared" si="13"/>
        <v>4073.9726543656798</v>
      </c>
      <c r="F40" s="14">
        <f t="shared" si="14"/>
        <v>10863.927078308479</v>
      </c>
      <c r="G40" s="14">
        <f t="shared" si="10"/>
        <v>11358.303659915753</v>
      </c>
      <c r="H40" s="14">
        <f t="shared" si="9"/>
        <v>174275.49688119852</v>
      </c>
      <c r="I40" s="26">
        <f t="shared" si="11"/>
        <v>74822.169366885253</v>
      </c>
      <c r="O40" s="14">
        <v>109778.09091128036</v>
      </c>
      <c r="P40" s="14">
        <v>172851.89625025322</v>
      </c>
      <c r="Q40" s="14">
        <v>280962.66391478822</v>
      </c>
      <c r="R40" s="14">
        <v>796110.8608338536</v>
      </c>
    </row>
    <row r="41" spans="1:18" x14ac:dyDescent="0.25">
      <c r="A41" s="9">
        <f t="shared" si="6"/>
        <v>2064</v>
      </c>
      <c r="B41" s="15">
        <f t="shared" si="7"/>
        <v>68</v>
      </c>
      <c r="C41" s="14">
        <f t="shared" si="12"/>
        <v>0</v>
      </c>
      <c r="D41" s="14">
        <f t="shared" si="8"/>
        <v>174275.49688119852</v>
      </c>
      <c r="E41" s="14">
        <f t="shared" si="13"/>
        <v>3921.1986798269663</v>
      </c>
      <c r="F41" s="14">
        <f t="shared" si="14"/>
        <v>10456.529812871911</v>
      </c>
      <c r="G41" s="14">
        <f t="shared" si="10"/>
        <v>11178.345536303963</v>
      </c>
      <c r="H41" s="14">
        <f t="shared" si="9"/>
        <v>167740.16574815358</v>
      </c>
      <c r="I41" s="26">
        <f t="shared" si="11"/>
        <v>70431.626421151173</v>
      </c>
      <c r="O41" s="14">
        <v>105386.96727482915</v>
      </c>
      <c r="P41" s="14">
        <v>169394.85832524815</v>
      </c>
      <c r="Q41" s="14">
        <v>280962.66391478822</v>
      </c>
      <c r="R41" s="14">
        <v>827955.29526720778</v>
      </c>
    </row>
    <row r="42" spans="1:18" x14ac:dyDescent="0.25">
      <c r="A42" s="9">
        <f t="shared" si="6"/>
        <v>2065</v>
      </c>
      <c r="B42" s="15">
        <f t="shared" si="7"/>
        <v>69</v>
      </c>
      <c r="C42" s="14">
        <f t="shared" si="12"/>
        <v>0</v>
      </c>
      <c r="D42" s="14">
        <f t="shared" si="8"/>
        <v>167740.16574815358</v>
      </c>
      <c r="E42" s="14">
        <f t="shared" si="13"/>
        <v>3774.1537293334554</v>
      </c>
      <c r="F42" s="14">
        <f t="shared" si="14"/>
        <v>10064.409944889214</v>
      </c>
      <c r="G42" s="14">
        <f t="shared" si="10"/>
        <v>11001.238624213145</v>
      </c>
      <c r="H42" s="14">
        <f t="shared" si="9"/>
        <v>161449.90953259781</v>
      </c>
      <c r="I42" s="26">
        <f t="shared" si="11"/>
        <v>66298.719247293891</v>
      </c>
      <c r="O42" s="14">
        <v>101171.48858383598</v>
      </c>
      <c r="P42" s="14">
        <v>166006.96115874319</v>
      </c>
      <c r="Q42" s="14">
        <v>280962.66391478822</v>
      </c>
      <c r="R42" s="14">
        <v>861073.50707789604</v>
      </c>
    </row>
    <row r="43" spans="1:18" x14ac:dyDescent="0.25">
      <c r="A43" s="9">
        <f t="shared" si="6"/>
        <v>2066</v>
      </c>
      <c r="B43" s="15">
        <f t="shared" si="7"/>
        <v>70</v>
      </c>
      <c r="C43" s="14">
        <f t="shared" si="12"/>
        <v>0</v>
      </c>
      <c r="D43" s="14">
        <f t="shared" si="8"/>
        <v>161449.90953259781</v>
      </c>
      <c r="E43" s="14">
        <f t="shared" si="13"/>
        <v>3632.6229644834507</v>
      </c>
      <c r="F43" s="14">
        <f t="shared" si="14"/>
        <v>9686.9945719558691</v>
      </c>
      <c r="G43" s="14">
        <f t="shared" si="10"/>
        <v>10826.937749760769</v>
      </c>
      <c r="H43" s="14">
        <f t="shared" si="9"/>
        <v>155395.53792512539</v>
      </c>
      <c r="I43" s="26">
        <f t="shared" si="11"/>
        <v>62408.329853809664</v>
      </c>
      <c r="O43" s="14">
        <v>97124.629040482541</v>
      </c>
      <c r="P43" s="14">
        <v>162686.82193556832</v>
      </c>
      <c r="Q43" s="14">
        <v>280962.66391478822</v>
      </c>
      <c r="R43" s="14">
        <v>895516.44736101187</v>
      </c>
    </row>
    <row r="44" spans="1:18" x14ac:dyDescent="0.25">
      <c r="A44" s="9">
        <f t="shared" si="6"/>
        <v>2067</v>
      </c>
      <c r="B44" s="15">
        <f t="shared" si="7"/>
        <v>71</v>
      </c>
      <c r="C44" s="14">
        <f t="shared" si="12"/>
        <v>0</v>
      </c>
      <c r="D44" s="14">
        <f t="shared" si="8"/>
        <v>155395.53792512539</v>
      </c>
      <c r="E44" s="14">
        <f t="shared" si="13"/>
        <v>3496.3996033153212</v>
      </c>
      <c r="F44" s="14">
        <f t="shared" si="14"/>
        <v>9323.7322755075238</v>
      </c>
      <c r="G44" s="14">
        <f t="shared" si="10"/>
        <v>10655.398454787995</v>
      </c>
      <c r="H44" s="14">
        <f t="shared" si="9"/>
        <v>149568.20525293317</v>
      </c>
      <c r="I44" s="26">
        <f t="shared" si="11"/>
        <v>58746.227368500542</v>
      </c>
      <c r="O44" s="14">
        <v>93239.643878863237</v>
      </c>
      <c r="P44" s="14">
        <v>159433.08549685695</v>
      </c>
      <c r="Q44" s="14">
        <v>280962.66391478822</v>
      </c>
      <c r="R44" s="14">
        <v>931337.10525545233</v>
      </c>
    </row>
    <row r="45" spans="1:18" x14ac:dyDescent="0.25">
      <c r="A45" s="9">
        <f t="shared" si="6"/>
        <v>2068</v>
      </c>
      <c r="B45" s="15">
        <f t="shared" si="7"/>
        <v>72</v>
      </c>
      <c r="C45" s="14">
        <f t="shared" si="12"/>
        <v>0</v>
      </c>
      <c r="D45" s="14">
        <f t="shared" si="8"/>
        <v>149568.20525293317</v>
      </c>
      <c r="E45" s="14">
        <f t="shared" si="13"/>
        <v>3365.2846181909963</v>
      </c>
      <c r="F45" s="14">
        <f t="shared" si="14"/>
        <v>8974.0923151759907</v>
      </c>
      <c r="G45" s="14">
        <f t="shared" si="10"/>
        <v>10486.576985519947</v>
      </c>
      <c r="H45" s="14">
        <f t="shared" si="9"/>
        <v>143959.39755594818</v>
      </c>
      <c r="I45" s="26">
        <f t="shared" si="11"/>
        <v>55299.015982573859</v>
      </c>
      <c r="O45" s="14">
        <v>89510.058123708703</v>
      </c>
      <c r="P45" s="14">
        <v>156244.4237869198</v>
      </c>
      <c r="Q45" s="14">
        <v>280962.66391478822</v>
      </c>
      <c r="R45" s="14">
        <v>968590.5894656704</v>
      </c>
    </row>
    <row r="46" spans="1:18" x14ac:dyDescent="0.25">
      <c r="A46" s="9">
        <f t="shared" si="6"/>
        <v>2069</v>
      </c>
      <c r="B46" s="15">
        <f t="shared" si="7"/>
        <v>73</v>
      </c>
      <c r="C46" s="14">
        <f t="shared" si="12"/>
        <v>0</v>
      </c>
      <c r="D46" s="14">
        <f t="shared" si="8"/>
        <v>143959.39755594818</v>
      </c>
      <c r="E46" s="14">
        <f t="shared" si="13"/>
        <v>3239.0864450088338</v>
      </c>
      <c r="F46" s="14">
        <f t="shared" si="14"/>
        <v>8637.5638533568908</v>
      </c>
      <c r="G46" s="14">
        <f t="shared" si="10"/>
        <v>10320.430281405614</v>
      </c>
      <c r="H46" s="14">
        <f t="shared" si="9"/>
        <v>138560.92014760012</v>
      </c>
      <c r="I46" s="26">
        <f t="shared" si="11"/>
        <v>52054.085949366585</v>
      </c>
      <c r="O46" s="14">
        <v>85929.655798760359</v>
      </c>
      <c r="P46" s="14">
        <v>153119.53531118139</v>
      </c>
      <c r="Q46" s="14">
        <v>280962.66391478822</v>
      </c>
      <c r="R46" s="14">
        <v>1007334.2130442972</v>
      </c>
    </row>
    <row r="47" spans="1:18" x14ac:dyDescent="0.25">
      <c r="A47" s="9">
        <f t="shared" si="6"/>
        <v>2070</v>
      </c>
      <c r="B47" s="15">
        <f t="shared" si="7"/>
        <v>74</v>
      </c>
      <c r="C47" s="14">
        <f t="shared" si="12"/>
        <v>0</v>
      </c>
      <c r="D47" s="14">
        <f t="shared" si="8"/>
        <v>138560.92014760012</v>
      </c>
      <c r="E47" s="14">
        <f t="shared" si="13"/>
        <v>3117.6207033210026</v>
      </c>
      <c r="F47" s="14">
        <f t="shared" si="14"/>
        <v>8313.6552088560074</v>
      </c>
      <c r="G47" s="14">
        <f t="shared" si="10"/>
        <v>10156.915964134592</v>
      </c>
      <c r="H47" s="14">
        <f t="shared" si="9"/>
        <v>133364.88564206511</v>
      </c>
      <c r="I47" s="26">
        <f t="shared" si="11"/>
        <v>48999.567458450212</v>
      </c>
      <c r="O47" s="14">
        <v>82492.469566809945</v>
      </c>
      <c r="P47" s="14">
        <v>150057.14460495775</v>
      </c>
      <c r="Q47" s="14">
        <v>280962.66391478822</v>
      </c>
      <c r="R47" s="14">
        <v>1047627.581566069</v>
      </c>
    </row>
    <row r="48" spans="1:18" x14ac:dyDescent="0.25">
      <c r="A48" s="9">
        <f t="shared" si="6"/>
        <v>2071</v>
      </c>
      <c r="B48" s="15">
        <f t="shared" si="7"/>
        <v>75</v>
      </c>
      <c r="C48" s="14">
        <f t="shared" si="12"/>
        <v>0</v>
      </c>
      <c r="D48" s="14">
        <f t="shared" si="8"/>
        <v>133364.88564206511</v>
      </c>
      <c r="E48" s="14">
        <f t="shared" si="13"/>
        <v>3000.7099269464647</v>
      </c>
      <c r="F48" s="14">
        <f t="shared" si="14"/>
        <v>8001.8931385239066</v>
      </c>
      <c r="G48" s="14">
        <f t="shared" si="10"/>
        <v>9995.9923268278326</v>
      </c>
      <c r="H48" s="14">
        <f t="shared" si="9"/>
        <v>128363.70243048767</v>
      </c>
      <c r="I48" s="26">
        <f t="shared" si="11"/>
        <v>46124.287216389566</v>
      </c>
      <c r="O48" s="14">
        <v>79192.770784137552</v>
      </c>
      <c r="P48" s="14">
        <v>147056.00171285862</v>
      </c>
      <c r="Q48" s="14">
        <v>280962.66391478822</v>
      </c>
      <c r="R48" s="14">
        <v>1089532.6848287119</v>
      </c>
    </row>
    <row r="49" spans="1:18" x14ac:dyDescent="0.25">
      <c r="A49" s="9">
        <f t="shared" si="6"/>
        <v>2072</v>
      </c>
      <c r="B49" s="15">
        <f t="shared" si="7"/>
        <v>76</v>
      </c>
      <c r="C49" s="14">
        <f t="shared" si="12"/>
        <v>0</v>
      </c>
      <c r="D49" s="14">
        <f t="shared" si="8"/>
        <v>128363.70243048767</v>
      </c>
      <c r="E49" s="14">
        <f t="shared" si="13"/>
        <v>2888.1833046859724</v>
      </c>
      <c r="F49" s="14">
        <f t="shared" si="14"/>
        <v>7701.8221458292601</v>
      </c>
      <c r="G49" s="14">
        <f t="shared" si="10"/>
        <v>9837.6183233996544</v>
      </c>
      <c r="H49" s="14">
        <f t="shared" si="9"/>
        <v>123550.0635893444</v>
      </c>
      <c r="I49" s="26">
        <f t="shared" si="11"/>
        <v>43417.727575330035</v>
      </c>
      <c r="O49" s="14">
        <v>76025.059952772048</v>
      </c>
      <c r="P49" s="14">
        <v>144114.88167860144</v>
      </c>
      <c r="Q49" s="14">
        <v>280962.66391478822</v>
      </c>
      <c r="R49" s="14">
        <v>1133113.9922218602</v>
      </c>
    </row>
    <row r="50" spans="1:18" x14ac:dyDescent="0.25">
      <c r="A50" s="9">
        <f t="shared" si="6"/>
        <v>2073</v>
      </c>
      <c r="B50" s="15">
        <f t="shared" si="7"/>
        <v>77</v>
      </c>
      <c r="C50" s="14">
        <f t="shared" si="12"/>
        <v>0</v>
      </c>
      <c r="D50" s="14">
        <f t="shared" si="8"/>
        <v>123550.0635893444</v>
      </c>
      <c r="E50" s="14">
        <f t="shared" si="13"/>
        <v>2779.8764307602487</v>
      </c>
      <c r="F50" s="14">
        <f t="shared" si="14"/>
        <v>7413.0038153606638</v>
      </c>
      <c r="G50" s="14">
        <f t="shared" si="10"/>
        <v>9681.7535580882923</v>
      </c>
      <c r="H50" s="14">
        <f t="shared" si="9"/>
        <v>118916.93620474399</v>
      </c>
      <c r="I50" s="26">
        <f t="shared" si="11"/>
        <v>40869.988059907264</v>
      </c>
      <c r="O50" s="14">
        <v>72984.057554661165</v>
      </c>
      <c r="P50" s="14">
        <v>141232.58404502942</v>
      </c>
      <c r="Q50" s="14">
        <v>280962.66391478822</v>
      </c>
      <c r="R50" s="14">
        <v>1178438.5519107347</v>
      </c>
    </row>
    <row r="51" spans="1:18" x14ac:dyDescent="0.25">
      <c r="A51" s="9">
        <f t="shared" si="6"/>
        <v>2074</v>
      </c>
      <c r="B51" s="15">
        <f t="shared" si="7"/>
        <v>78</v>
      </c>
      <c r="C51" s="14">
        <f t="shared" si="12"/>
        <v>0</v>
      </c>
      <c r="D51" s="14">
        <f t="shared" si="8"/>
        <v>118916.93620474399</v>
      </c>
      <c r="E51" s="14">
        <f t="shared" si="13"/>
        <v>2675.63106460674</v>
      </c>
      <c r="F51" s="14">
        <f t="shared" si="14"/>
        <v>7135.0161722846397</v>
      </c>
      <c r="G51" s="14">
        <f t="shared" si="10"/>
        <v>9528.3582751523318</v>
      </c>
      <c r="H51" s="14">
        <f t="shared" si="9"/>
        <v>114457.5510970661</v>
      </c>
      <c r="I51" s="26">
        <f t="shared" si="11"/>
        <v>38471.749151746444</v>
      </c>
      <c r="O51" s="14">
        <v>70064.695252474718</v>
      </c>
      <c r="P51" s="14">
        <v>138407.93236412882</v>
      </c>
      <c r="Q51" s="14">
        <v>280962.66391478822</v>
      </c>
      <c r="R51" s="14">
        <v>1225576.0939871641</v>
      </c>
    </row>
    <row r="52" spans="1:18" x14ac:dyDescent="0.25">
      <c r="A52" s="9">
        <f t="shared" si="6"/>
        <v>2075</v>
      </c>
      <c r="B52" s="15">
        <f t="shared" si="7"/>
        <v>79</v>
      </c>
      <c r="C52" s="14">
        <f t="shared" si="12"/>
        <v>0</v>
      </c>
      <c r="D52" s="14">
        <f t="shared" si="8"/>
        <v>114457.5510970661</v>
      </c>
      <c r="E52" s="14">
        <f t="shared" si="13"/>
        <v>2575.2948996839873</v>
      </c>
      <c r="F52" s="14">
        <f t="shared" si="14"/>
        <v>6867.4530658239655</v>
      </c>
      <c r="G52" s="14">
        <f t="shared" si="10"/>
        <v>9377.3933487303875</v>
      </c>
      <c r="H52" s="14">
        <f t="shared" si="9"/>
        <v>110165.39293092611</v>
      </c>
      <c r="I52" s="26">
        <f t="shared" si="11"/>
        <v>36214.238199076739</v>
      </c>
      <c r="O52" s="14">
        <v>67262.107442375724</v>
      </c>
      <c r="P52" s="14">
        <v>135639.77371684625</v>
      </c>
      <c r="Q52" s="14">
        <v>280962.66391478822</v>
      </c>
      <c r="R52" s="14">
        <v>1274599.1377466507</v>
      </c>
    </row>
    <row r="53" spans="1:18" x14ac:dyDescent="0.25">
      <c r="A53" s="9">
        <f t="shared" si="6"/>
        <v>2076</v>
      </c>
      <c r="B53" s="15">
        <f t="shared" si="7"/>
        <v>80</v>
      </c>
      <c r="C53" s="14">
        <f t="shared" si="12"/>
        <v>0</v>
      </c>
      <c r="D53" s="14">
        <f t="shared" si="8"/>
        <v>110165.39293092611</v>
      </c>
      <c r="E53" s="14">
        <f t="shared" si="13"/>
        <v>2478.7213409458377</v>
      </c>
      <c r="F53" s="14">
        <f t="shared" si="14"/>
        <v>6609.9235758555669</v>
      </c>
      <c r="G53" s="14">
        <f t="shared" si="10"/>
        <v>9228.8202728614397</v>
      </c>
      <c r="H53" s="14">
        <f t="shared" si="9"/>
        <v>106034.19069601638</v>
      </c>
      <c r="I53" s="26">
        <f t="shared" si="11"/>
        <v>34089.197326759269</v>
      </c>
      <c r="O53" s="14">
        <v>64571.623144680692</v>
      </c>
      <c r="P53" s="14">
        <v>132926.9782425093</v>
      </c>
      <c r="Q53" s="14">
        <v>280962.66391478822</v>
      </c>
      <c r="R53" s="14">
        <v>1325583.1032565166</v>
      </c>
    </row>
    <row r="54" spans="1:18" x14ac:dyDescent="0.25">
      <c r="A54" s="9">
        <f t="shared" si="6"/>
        <v>2077</v>
      </c>
      <c r="B54" s="15">
        <f t="shared" si="7"/>
        <v>81</v>
      </c>
      <c r="C54" s="14">
        <f t="shared" si="12"/>
        <v>0</v>
      </c>
      <c r="D54" s="14">
        <f t="shared" si="8"/>
        <v>106034.19069601638</v>
      </c>
      <c r="E54" s="14">
        <f t="shared" si="13"/>
        <v>2385.7692906603684</v>
      </c>
      <c r="F54" s="14">
        <f t="shared" si="14"/>
        <v>6362.051441760982</v>
      </c>
      <c r="G54" s="14">
        <f t="shared" si="10"/>
        <v>9082.601151663288</v>
      </c>
      <c r="H54" s="14">
        <f t="shared" si="9"/>
        <v>102057.90854491576</v>
      </c>
      <c r="I54" s="26">
        <f t="shared" si="11"/>
        <v>32088.853229345521</v>
      </c>
      <c r="O54" s="14">
        <v>61988.758218893468</v>
      </c>
      <c r="P54" s="14">
        <v>130268.43867765911</v>
      </c>
      <c r="Q54" s="14">
        <v>280962.66391478822</v>
      </c>
      <c r="R54" s="14">
        <v>1378606.4273867772</v>
      </c>
    </row>
    <row r="55" spans="1:18" x14ac:dyDescent="0.25">
      <c r="A55" s="9">
        <f t="shared" si="6"/>
        <v>2078</v>
      </c>
      <c r="B55" s="15">
        <f t="shared" si="7"/>
        <v>82</v>
      </c>
      <c r="C55" s="14">
        <f t="shared" si="12"/>
        <v>0</v>
      </c>
      <c r="D55" s="14">
        <f t="shared" si="8"/>
        <v>102057.90854491576</v>
      </c>
      <c r="E55" s="14">
        <f t="shared" si="13"/>
        <v>2296.3029422606046</v>
      </c>
      <c r="F55" s="14">
        <f t="shared" si="14"/>
        <v>6123.4745126949456</v>
      </c>
      <c r="G55" s="14">
        <f t="shared" si="10"/>
        <v>8938.6986896666222</v>
      </c>
      <c r="H55" s="14">
        <f t="shared" si="9"/>
        <v>98230.73697448142</v>
      </c>
      <c r="I55" s="26">
        <f t="shared" si="11"/>
        <v>30205.888736669989</v>
      </c>
      <c r="O55" s="14">
        <v>59509.207890137732</v>
      </c>
      <c r="P55" s="14">
        <v>127663.06990410594</v>
      </c>
      <c r="Q55" s="14">
        <v>280962.66391478822</v>
      </c>
      <c r="R55" s="14">
        <v>1433750.6844822485</v>
      </c>
    </row>
    <row r="56" spans="1:18" x14ac:dyDescent="0.25">
      <c r="A56" s="9">
        <f t="shared" si="6"/>
        <v>2079</v>
      </c>
      <c r="B56" s="15">
        <f t="shared" si="7"/>
        <v>83</v>
      </c>
      <c r="C56" s="14">
        <f t="shared" si="12"/>
        <v>0</v>
      </c>
      <c r="D56" s="14">
        <f t="shared" si="8"/>
        <v>98230.73697448142</v>
      </c>
      <c r="E56" s="14">
        <f t="shared" si="13"/>
        <v>2210.191581925832</v>
      </c>
      <c r="F56" s="14">
        <f t="shared" si="14"/>
        <v>5893.8442184688847</v>
      </c>
      <c r="G56" s="14">
        <f t="shared" si="10"/>
        <v>8797.0761823022149</v>
      </c>
      <c r="H56" s="14">
        <f t="shared" si="9"/>
        <v>94547.084337938359</v>
      </c>
      <c r="I56" s="26">
        <f t="shared" si="11"/>
        <v>28433.416047965638</v>
      </c>
      <c r="O56" s="14">
        <v>57128.83957453222</v>
      </c>
      <c r="P56" s="14">
        <v>125109.80850602382</v>
      </c>
      <c r="Q56" s="14">
        <v>280962.66391478822</v>
      </c>
      <c r="R56" s="14">
        <v>1491100.7118615385</v>
      </c>
    </row>
    <row r="57" spans="1:18" x14ac:dyDescent="0.25">
      <c r="A57" s="9">
        <f t="shared" si="6"/>
        <v>2080</v>
      </c>
      <c r="B57" s="15">
        <f t="shared" si="7"/>
        <v>84</v>
      </c>
      <c r="C57" s="14">
        <f t="shared" si="12"/>
        <v>0</v>
      </c>
      <c r="D57" s="14">
        <f t="shared" si="8"/>
        <v>94547.084337938359</v>
      </c>
      <c r="E57" s="14">
        <f t="shared" si="13"/>
        <v>2127.309397603613</v>
      </c>
      <c r="F57" s="14">
        <f t="shared" si="14"/>
        <v>5672.825060276301</v>
      </c>
      <c r="G57" s="14">
        <f t="shared" si="10"/>
        <v>8657.6975065388633</v>
      </c>
      <c r="H57" s="14">
        <f t="shared" si="9"/>
        <v>91001.568675265677</v>
      </c>
      <c r="I57" s="26">
        <f t="shared" si="11"/>
        <v>26764.951536593577</v>
      </c>
      <c r="O57" s="14">
        <v>54843.685991550934</v>
      </c>
      <c r="P57" s="14">
        <v>122607.61233590335</v>
      </c>
      <c r="Q57" s="14">
        <v>280962.66391478822</v>
      </c>
      <c r="R57" s="14">
        <v>1550744.740336</v>
      </c>
    </row>
    <row r="58" spans="1:18" x14ac:dyDescent="0.25">
      <c r="A58" s="9">
        <f t="shared" si="6"/>
        <v>2081</v>
      </c>
      <c r="B58" s="15">
        <f t="shared" si="7"/>
        <v>85</v>
      </c>
      <c r="C58" s="14">
        <f t="shared" si="12"/>
        <v>0</v>
      </c>
      <c r="D58" s="14">
        <f t="shared" si="8"/>
        <v>91001.568675265677</v>
      </c>
      <c r="E58" s="14">
        <f t="shared" si="13"/>
        <v>2047.5352951934776</v>
      </c>
      <c r="F58" s="14">
        <f t="shared" si="14"/>
        <v>5460.0941205159406</v>
      </c>
      <c r="G58" s="14">
        <f t="shared" si="10"/>
        <v>8520.5271116696404</v>
      </c>
      <c r="H58" s="14">
        <f t="shared" si="9"/>
        <v>87589.009849943206</v>
      </c>
      <c r="I58" s="26">
        <f t="shared" si="11"/>
        <v>25194.392033223779</v>
      </c>
      <c r="O58" s="14">
        <v>52649.938551888896</v>
      </c>
      <c r="P58" s="14">
        <v>120155.46008918529</v>
      </c>
      <c r="Q58" s="14">
        <v>280962.66391478822</v>
      </c>
      <c r="R58" s="14">
        <v>1612774.5299494399</v>
      </c>
    </row>
    <row r="59" spans="1:18" x14ac:dyDescent="0.25">
      <c r="A59" s="9">
        <f t="shared" si="6"/>
        <v>2082</v>
      </c>
      <c r="B59" s="15">
        <f t="shared" si="7"/>
        <v>86</v>
      </c>
      <c r="C59" s="14">
        <f t="shared" si="12"/>
        <v>0</v>
      </c>
      <c r="D59" s="14">
        <f t="shared" si="8"/>
        <v>87589.009849943206</v>
      </c>
      <c r="E59" s="14">
        <f t="shared" si="13"/>
        <v>1970.752721623722</v>
      </c>
      <c r="F59" s="14">
        <f t="shared" si="14"/>
        <v>5255.3405909965923</v>
      </c>
      <c r="G59" s="14">
        <f t="shared" si="10"/>
        <v>8385.5300102441233</v>
      </c>
      <c r="H59" s="14">
        <f t="shared" si="9"/>
        <v>84304.421980570332</v>
      </c>
      <c r="I59" s="26">
        <f t="shared" si="11"/>
        <v>23715.992500711876</v>
      </c>
      <c r="O59" s="14">
        <v>50543.941009813338</v>
      </c>
      <c r="P59" s="14">
        <v>117752.35088740158</v>
      </c>
      <c r="Q59" s="14">
        <v>280962.66391478822</v>
      </c>
      <c r="R59" s="14">
        <v>1677285.5111474176</v>
      </c>
    </row>
    <row r="60" spans="1:18" x14ac:dyDescent="0.25">
      <c r="A60" s="9">
        <f t="shared" si="6"/>
        <v>2083</v>
      </c>
      <c r="B60" s="15">
        <f t="shared" si="7"/>
        <v>87</v>
      </c>
      <c r="C60" s="14">
        <f t="shared" si="12"/>
        <v>0</v>
      </c>
      <c r="D60" s="14">
        <f t="shared" si="8"/>
        <v>84304.421980570332</v>
      </c>
      <c r="E60" s="14">
        <f t="shared" si="13"/>
        <v>1896.8494945628324</v>
      </c>
      <c r="F60" s="14">
        <f t="shared" si="14"/>
        <v>5058.2653188342201</v>
      </c>
      <c r="G60" s="14">
        <f t="shared" si="10"/>
        <v>8252.6717691443173</v>
      </c>
      <c r="H60" s="14">
        <f t="shared" si="9"/>
        <v>81143.006156298943</v>
      </c>
      <c r="I60" s="26">
        <f t="shared" si="11"/>
        <v>22324.345019007509</v>
      </c>
      <c r="O60" s="14">
        <v>48522.183369420804</v>
      </c>
      <c r="P60" s="14">
        <v>115397.30386965355</v>
      </c>
      <c r="Q60" s="14">
        <v>280962.66391478822</v>
      </c>
      <c r="R60" s="14">
        <v>1744376.9315933143</v>
      </c>
    </row>
    <row r="61" spans="1:18" x14ac:dyDescent="0.25">
      <c r="A61" s="9">
        <f t="shared" si="6"/>
        <v>2084</v>
      </c>
      <c r="B61" s="15">
        <f t="shared" si="7"/>
        <v>88</v>
      </c>
      <c r="C61" s="14">
        <f t="shared" si="12"/>
        <v>0</v>
      </c>
      <c r="D61" s="14">
        <f t="shared" si="8"/>
        <v>81143.006156298943</v>
      </c>
      <c r="E61" s="14">
        <f t="shared" si="13"/>
        <v>1825.7176385167261</v>
      </c>
      <c r="F61" s="14">
        <f t="shared" si="14"/>
        <v>4868.5803693779362</v>
      </c>
      <c r="G61" s="14">
        <f t="shared" si="10"/>
        <v>8121.9185008019349</v>
      </c>
      <c r="H61" s="14">
        <f t="shared" si="9"/>
        <v>78100.143425437738</v>
      </c>
      <c r="I61" s="26">
        <f t="shared" si="11"/>
        <v>21014.359003222235</v>
      </c>
      <c r="O61" s="14">
        <v>46581.296034643972</v>
      </c>
      <c r="P61" s="14">
        <v>113089.35779226047</v>
      </c>
      <c r="Q61" s="14">
        <v>280962.66391478822</v>
      </c>
      <c r="R61" s="14">
        <v>1814152.008857047</v>
      </c>
    </row>
    <row r="62" spans="1:18" x14ac:dyDescent="0.25">
      <c r="A62" s="9">
        <f t="shared" si="6"/>
        <v>2085</v>
      </c>
      <c r="B62" s="15">
        <f t="shared" si="7"/>
        <v>89</v>
      </c>
      <c r="C62" s="14">
        <f t="shared" si="12"/>
        <v>0</v>
      </c>
      <c r="D62" s="14">
        <f t="shared" si="8"/>
        <v>78100.143425437738</v>
      </c>
      <c r="E62" s="14">
        <f t="shared" si="13"/>
        <v>1757.2532270723491</v>
      </c>
      <c r="F62" s="14">
        <f t="shared" si="14"/>
        <v>4686.0086055262645</v>
      </c>
      <c r="G62" s="14">
        <f t="shared" si="10"/>
        <v>7993.2368545548552</v>
      </c>
      <c r="H62" s="14">
        <f t="shared" si="9"/>
        <v>75171.388046983819</v>
      </c>
      <c r="I62" s="26">
        <f t="shared" si="11"/>
        <v>19781.242582495252</v>
      </c>
      <c r="O62" s="14">
        <v>44718.044193258218</v>
      </c>
      <c r="P62" s="14">
        <v>110827.57063641527</v>
      </c>
      <c r="Q62" s="14">
        <v>280962.66391478822</v>
      </c>
      <c r="R62" s="14">
        <v>1886718.0892113289</v>
      </c>
    </row>
    <row r="63" spans="1:18" x14ac:dyDescent="0.25">
      <c r="A63" s="9">
        <f t="shared" si="6"/>
        <v>2086</v>
      </c>
      <c r="B63" s="15">
        <f t="shared" si="7"/>
        <v>90</v>
      </c>
      <c r="C63" s="14">
        <f t="shared" si="12"/>
        <v>0</v>
      </c>
      <c r="D63" s="14">
        <f t="shared" si="8"/>
        <v>75171.388046983819</v>
      </c>
      <c r="E63" s="14">
        <f t="shared" si="13"/>
        <v>1691.3562310571358</v>
      </c>
      <c r="F63" s="14">
        <f t="shared" si="14"/>
        <v>4510.2832828190285</v>
      </c>
      <c r="G63" s="14">
        <f t="shared" si="10"/>
        <v>7866.5940081404979</v>
      </c>
      <c r="H63" s="14">
        <f t="shared" si="9"/>
        <v>72352.460995221918</v>
      </c>
      <c r="I63" s="26">
        <f t="shared" si="11"/>
        <v>18620.485071541985</v>
      </c>
      <c r="O63" s="14">
        <v>42929.322425527891</v>
      </c>
      <c r="P63" s="14">
        <v>108611.01922368696</v>
      </c>
      <c r="Q63" s="14">
        <v>280962.66391478822</v>
      </c>
      <c r="R63" s="14">
        <v>1962186.8127797821</v>
      </c>
    </row>
    <row r="64" spans="1:18" x14ac:dyDescent="0.25">
      <c r="A64" s="9">
        <f t="shared" si="6"/>
        <v>2087</v>
      </c>
      <c r="B64" s="15">
        <f t="shared" si="7"/>
        <v>91</v>
      </c>
      <c r="C64" s="14">
        <f t="shared" si="12"/>
        <v>0</v>
      </c>
      <c r="D64" s="14">
        <f t="shared" si="8"/>
        <v>72352.460995221918</v>
      </c>
      <c r="E64" s="14">
        <f t="shared" si="13"/>
        <v>1627.9303723924932</v>
      </c>
      <c r="F64" s="14">
        <f t="shared" si="14"/>
        <v>4341.1476597133151</v>
      </c>
      <c r="G64" s="14">
        <f t="shared" si="10"/>
        <v>7741.9576593240226</v>
      </c>
      <c r="H64" s="14">
        <f t="shared" si="9"/>
        <v>69639.2437079011</v>
      </c>
      <c r="I64" s="26">
        <f t="shared" si="11"/>
        <v>17527.840470766907</v>
      </c>
      <c r="O64" s="14">
        <v>41212.149528506772</v>
      </c>
      <c r="P64" s="14">
        <v>106438.79883921322</v>
      </c>
      <c r="Q64" s="14">
        <v>280962.66391478822</v>
      </c>
      <c r="R64" s="14">
        <v>2040674.2852909737</v>
      </c>
    </row>
    <row r="65" spans="1:18" x14ac:dyDescent="0.25">
      <c r="A65" s="9">
        <f t="shared" si="6"/>
        <v>2088</v>
      </c>
      <c r="B65" s="15">
        <f t="shared" si="7"/>
        <v>92</v>
      </c>
      <c r="C65" s="14">
        <f t="shared" si="12"/>
        <v>0</v>
      </c>
      <c r="D65" s="14">
        <f t="shared" si="8"/>
        <v>69639.2437079011</v>
      </c>
      <c r="E65" s="14">
        <f t="shared" si="13"/>
        <v>1566.8829834277747</v>
      </c>
      <c r="F65" s="14">
        <f t="shared" si="14"/>
        <v>4178.3546224740658</v>
      </c>
      <c r="G65" s="14">
        <f t="shared" si="10"/>
        <v>7619.2960176591068</v>
      </c>
      <c r="H65" s="14">
        <f t="shared" si="9"/>
        <v>67027.7720688548</v>
      </c>
      <c r="I65" s="26">
        <f t="shared" si="11"/>
        <v>16499.311934584985</v>
      </c>
      <c r="O65" s="14">
        <v>39563.663547366501</v>
      </c>
      <c r="P65" s="14">
        <v>104310.02286242896</v>
      </c>
      <c r="Q65" s="14">
        <v>280962.66391478822</v>
      </c>
      <c r="R65" s="14">
        <v>2122301.2567026126</v>
      </c>
    </row>
    <row r="66" spans="1:18" x14ac:dyDescent="0.25">
      <c r="A66" s="9">
        <f t="shared" si="6"/>
        <v>2089</v>
      </c>
      <c r="B66" s="15">
        <f t="shared" si="7"/>
        <v>93</v>
      </c>
      <c r="C66" s="14">
        <f t="shared" si="12"/>
        <v>0</v>
      </c>
      <c r="D66" s="14">
        <f t="shared" si="8"/>
        <v>67027.7720688548</v>
      </c>
      <c r="E66" s="14">
        <f t="shared" si="13"/>
        <v>1508.1248715492329</v>
      </c>
      <c r="F66" s="14">
        <f t="shared" si="14"/>
        <v>4021.6663241312876</v>
      </c>
      <c r="G66" s="14">
        <f t="shared" ref="G66:G78" si="15">IF(B66&lt;retirement_age,0,
   D66*withdrawal_rate*(1+inflation_rate)^(B66-retirement_age))</f>
        <v>7498.5777963793198</v>
      </c>
      <c r="H66" s="14">
        <f t="shared" si="9"/>
        <v>64514.23061627274</v>
      </c>
      <c r="I66" s="26">
        <f t="shared" ref="I66:I97" si="16">H66 / (1 + inflation)^(A66 - start_year)</f>
        <v>15531.137151137456</v>
      </c>
      <c r="O66" s="14">
        <v>37981.117005471839</v>
      </c>
      <c r="P66" s="14">
        <v>102223.82240518038</v>
      </c>
      <c r="Q66" s="14">
        <v>280962.66391478822</v>
      </c>
      <c r="R66" s="14">
        <v>2207193.3069707169</v>
      </c>
    </row>
    <row r="67" spans="1:18" x14ac:dyDescent="0.25">
      <c r="A67" s="9">
        <f t="shared" si="6"/>
        <v>2090</v>
      </c>
      <c r="B67" s="15">
        <f t="shared" si="7"/>
        <v>94</v>
      </c>
      <c r="C67" s="14">
        <f t="shared" ref="C67:C98" si="17">IF(B67 &lt; retirement_age, annual_contribution, 0)</f>
        <v>0</v>
      </c>
      <c r="D67" s="14">
        <f t="shared" si="8"/>
        <v>64514.23061627274</v>
      </c>
      <c r="E67" s="14">
        <f t="shared" ref="E67:E98" si="18">D67 * return_rate</f>
        <v>1451.5701888661365</v>
      </c>
      <c r="F67" s="14">
        <f t="shared" ref="F67:F78" si="19">IF(B67&gt;= retirement_age, D67*withdrawal_rate, 0)</f>
        <v>3870.8538369763642</v>
      </c>
      <c r="G67" s="14">
        <f t="shared" si="15"/>
        <v>7379.7722044179336</v>
      </c>
      <c r="H67" s="14">
        <f t="shared" si="9"/>
        <v>62094.946968162512</v>
      </c>
      <c r="I67" s="26">
        <f t="shared" si="16"/>
        <v>14619.774579921566</v>
      </c>
      <c r="O67" s="14">
        <v>36461.872325252967</v>
      </c>
      <c r="P67" s="14">
        <v>100179.34595707679</v>
      </c>
      <c r="Q67" s="14">
        <v>280962.66391478822</v>
      </c>
      <c r="R67" s="14">
        <v>2295481.0392495459</v>
      </c>
    </row>
    <row r="68" spans="1:18" x14ac:dyDescent="0.25">
      <c r="A68" s="9">
        <f t="shared" ref="A68:A78" si="20">A67+1</f>
        <v>2091</v>
      </c>
      <c r="B68" s="15">
        <f t="shared" ref="B68:B78" si="21">B67+1</f>
        <v>95</v>
      </c>
      <c r="C68" s="14">
        <f t="shared" si="17"/>
        <v>0</v>
      </c>
      <c r="D68" s="14">
        <f t="shared" ref="D68:D78" si="22">H67</f>
        <v>62094.946968162512</v>
      </c>
      <c r="E68" s="14">
        <f t="shared" si="18"/>
        <v>1397.1363067836564</v>
      </c>
      <c r="F68" s="14">
        <f t="shared" si="19"/>
        <v>3725.6968180897506</v>
      </c>
      <c r="G68" s="14">
        <f t="shared" si="15"/>
        <v>7262.848938554188</v>
      </c>
      <c r="H68" s="14">
        <f t="shared" ref="H68:H78" si="23">D68 + C68 + E68 - F68</f>
        <v>59766.386456856417</v>
      </c>
      <c r="I68" s="26">
        <f t="shared" si="16"/>
        <v>13761.890496992186</v>
      </c>
      <c r="O68" s="14">
        <v>35003.397432242848</v>
      </c>
      <c r="P68" s="14">
        <v>98175.759037935248</v>
      </c>
      <c r="Q68" s="14">
        <v>280962.66391478822</v>
      </c>
      <c r="R68" s="14">
        <v>2387300.2808195278</v>
      </c>
    </row>
    <row r="69" spans="1:18" x14ac:dyDescent="0.25">
      <c r="A69" s="9">
        <f t="shared" si="20"/>
        <v>2092</v>
      </c>
      <c r="B69" s="15">
        <f t="shared" si="21"/>
        <v>96</v>
      </c>
      <c r="C69" s="14">
        <f t="shared" si="17"/>
        <v>0</v>
      </c>
      <c r="D69" s="14">
        <f t="shared" si="22"/>
        <v>59766.386456856417</v>
      </c>
      <c r="E69" s="14">
        <f t="shared" si="18"/>
        <v>1344.7436952792693</v>
      </c>
      <c r="F69" s="14">
        <f t="shared" si="19"/>
        <v>3585.9831874113847</v>
      </c>
      <c r="G69" s="14">
        <f t="shared" si="15"/>
        <v>7147.7781756839686</v>
      </c>
      <c r="H69" s="14">
        <f t="shared" si="23"/>
        <v>57525.146964724299</v>
      </c>
      <c r="I69" s="26">
        <f t="shared" si="16"/>
        <v>12954.346800347168</v>
      </c>
      <c r="O69" s="14">
        <v>33603.261534953133</v>
      </c>
      <c r="P69" s="14">
        <v>96212.243857176538</v>
      </c>
      <c r="Q69" s="14">
        <v>280962.66391478822</v>
      </c>
      <c r="R69" s="14">
        <v>2482792.2920523086</v>
      </c>
    </row>
    <row r="70" spans="1:18" x14ac:dyDescent="0.25">
      <c r="A70" s="9">
        <f t="shared" si="20"/>
        <v>2093</v>
      </c>
      <c r="B70" s="15">
        <f t="shared" si="21"/>
        <v>97</v>
      </c>
      <c r="C70" s="14">
        <f t="shared" si="17"/>
        <v>0</v>
      </c>
      <c r="D70" s="14">
        <f t="shared" si="22"/>
        <v>57525.146964724299</v>
      </c>
      <c r="E70" s="14">
        <f t="shared" si="18"/>
        <v>1294.3158067062966</v>
      </c>
      <c r="F70" s="14">
        <f t="shared" si="19"/>
        <v>3451.5088178834581</v>
      </c>
      <c r="G70" s="14">
        <f t="shared" si="15"/>
        <v>7034.5305652129746</v>
      </c>
      <c r="H70" s="14">
        <f t="shared" si="23"/>
        <v>55367.953953547141</v>
      </c>
      <c r="I70" s="26">
        <f t="shared" si="16"/>
        <v>12194.189530889143</v>
      </c>
      <c r="O70" s="14">
        <v>32259.131073555007</v>
      </c>
      <c r="P70" s="14">
        <v>94287.998980033008</v>
      </c>
      <c r="Q70" s="14">
        <v>280962.66391478822</v>
      </c>
      <c r="R70" s="14">
        <v>2582103.9837344009</v>
      </c>
    </row>
    <row r="71" spans="1:18" x14ac:dyDescent="0.25">
      <c r="A71" s="9">
        <f t="shared" si="20"/>
        <v>2094</v>
      </c>
      <c r="B71" s="15">
        <f t="shared" si="21"/>
        <v>98</v>
      </c>
      <c r="C71" s="14">
        <f t="shared" si="17"/>
        <v>0</v>
      </c>
      <c r="D71" s="14">
        <f t="shared" si="22"/>
        <v>55367.953953547141</v>
      </c>
      <c r="E71" s="14">
        <f t="shared" si="18"/>
        <v>1245.7789639548107</v>
      </c>
      <c r="F71" s="14">
        <f t="shared" si="19"/>
        <v>3322.0772372128285</v>
      </c>
      <c r="G71" s="14">
        <f t="shared" si="15"/>
        <v>6923.0772215703819</v>
      </c>
      <c r="H71" s="14">
        <f t="shared" si="23"/>
        <v>53291.655680289128</v>
      </c>
      <c r="I71" s="26">
        <f t="shared" si="16"/>
        <v>11478.638066973888</v>
      </c>
      <c r="O71" s="14">
        <v>30968.765830612811</v>
      </c>
      <c r="P71" s="14">
        <v>92402.239000432353</v>
      </c>
      <c r="Q71" s="14">
        <v>280962.66391478822</v>
      </c>
      <c r="R71" s="14">
        <v>2685388.1430837768</v>
      </c>
    </row>
    <row r="72" spans="1:18" x14ac:dyDescent="0.25">
      <c r="A72" s="9">
        <f t="shared" si="20"/>
        <v>2095</v>
      </c>
      <c r="B72" s="15">
        <f t="shared" si="21"/>
        <v>99</v>
      </c>
      <c r="C72" s="14">
        <f t="shared" si="17"/>
        <v>0</v>
      </c>
      <c r="D72" s="14">
        <f t="shared" si="22"/>
        <v>53291.655680289128</v>
      </c>
      <c r="E72" s="14">
        <f t="shared" si="18"/>
        <v>1199.0622528065053</v>
      </c>
      <c r="F72" s="14">
        <f t="shared" si="19"/>
        <v>3197.4993408173477</v>
      </c>
      <c r="G72" s="14">
        <f t="shared" si="15"/>
        <v>6813.3897168411258</v>
      </c>
      <c r="H72" s="14">
        <f t="shared" si="23"/>
        <v>51293.218592278288</v>
      </c>
      <c r="I72" s="26">
        <f t="shared" si="16"/>
        <v>10805.074953019432</v>
      </c>
      <c r="O72" s="14">
        <v>29730.015197388297</v>
      </c>
      <c r="P72" s="14">
        <v>90554.194220423713</v>
      </c>
      <c r="Q72" s="14">
        <v>280962.66391478822</v>
      </c>
      <c r="R72" s="14">
        <v>2792803.6688071275</v>
      </c>
    </row>
    <row r="73" spans="1:18" x14ac:dyDescent="0.25">
      <c r="A73" s="9">
        <f t="shared" si="20"/>
        <v>2096</v>
      </c>
      <c r="B73" s="15">
        <f t="shared" si="21"/>
        <v>100</v>
      </c>
      <c r="C73" s="14">
        <f t="shared" si="17"/>
        <v>0</v>
      </c>
      <c r="D73" s="14">
        <f t="shared" si="22"/>
        <v>51293.218592278288</v>
      </c>
      <c r="E73" s="14">
        <f t="shared" si="18"/>
        <v>1154.0974183262615</v>
      </c>
      <c r="F73" s="14">
        <f t="shared" si="19"/>
        <v>3077.593115536697</v>
      </c>
      <c r="G73" s="14">
        <f t="shared" si="15"/>
        <v>6705.4400735149238</v>
      </c>
      <c r="H73" s="14">
        <f t="shared" si="23"/>
        <v>49369.722895067847</v>
      </c>
      <c r="I73" s="26">
        <f t="shared" si="16"/>
        <v>10171.036324969391</v>
      </c>
      <c r="O73" s="14">
        <v>28540.814589492766</v>
      </c>
      <c r="P73" s="14">
        <v>88743.110336015234</v>
      </c>
      <c r="Q73" s="14">
        <v>280962.66391478822</v>
      </c>
      <c r="R73" s="14">
        <v>2904515.8155594124</v>
      </c>
    </row>
    <row r="74" spans="1:18" x14ac:dyDescent="0.25">
      <c r="A74" s="9">
        <f t="shared" si="20"/>
        <v>2097</v>
      </c>
      <c r="B74" s="15">
        <f t="shared" si="21"/>
        <v>101</v>
      </c>
      <c r="C74" s="14">
        <f t="shared" si="17"/>
        <v>0</v>
      </c>
      <c r="D74" s="14">
        <f t="shared" si="22"/>
        <v>49369.722895067847</v>
      </c>
      <c r="E74" s="14">
        <f t="shared" si="18"/>
        <v>1110.8187651390265</v>
      </c>
      <c r="F74" s="14">
        <f t="shared" si="19"/>
        <v>2962.1833737040706</v>
      </c>
      <c r="G74" s="14">
        <f t="shared" si="15"/>
        <v>6599.2007573501705</v>
      </c>
      <c r="H74" s="14">
        <f t="shared" si="23"/>
        <v>47518.3582865028</v>
      </c>
      <c r="I74" s="26">
        <f t="shared" si="16"/>
        <v>9574.2028975873254</v>
      </c>
      <c r="O74" s="14">
        <v>27399.182005913055</v>
      </c>
      <c r="P74" s="14">
        <v>86968.248129294923</v>
      </c>
      <c r="Q74" s="14">
        <v>280962.66391478822</v>
      </c>
      <c r="R74" s="14">
        <v>3020696.4481817889</v>
      </c>
    </row>
    <row r="75" spans="1:18" x14ac:dyDescent="0.25">
      <c r="A75" s="9">
        <f t="shared" si="20"/>
        <v>2098</v>
      </c>
      <c r="B75" s="15">
        <f t="shared" si="21"/>
        <v>102</v>
      </c>
      <c r="C75" s="14">
        <f t="shared" si="17"/>
        <v>0</v>
      </c>
      <c r="D75" s="14">
        <f t="shared" si="22"/>
        <v>47518.3582865028</v>
      </c>
      <c r="E75" s="14">
        <f t="shared" si="18"/>
        <v>1069.1630614463129</v>
      </c>
      <c r="F75" s="14">
        <f t="shared" si="19"/>
        <v>2851.1014971901677</v>
      </c>
      <c r="G75" s="14">
        <f t="shared" si="15"/>
        <v>6494.6446703509037</v>
      </c>
      <c r="H75" s="14">
        <f t="shared" si="23"/>
        <v>45736.419850758946</v>
      </c>
      <c r="I75" s="26">
        <f t="shared" si="16"/>
        <v>9012.3914806139874</v>
      </c>
      <c r="O75" s="14">
        <v>26303.214725676535</v>
      </c>
      <c r="P75" s="14">
        <v>85228.883166709027</v>
      </c>
      <c r="Q75" s="14">
        <v>280962.66391478822</v>
      </c>
      <c r="R75" s="14">
        <v>3141524.3061090605</v>
      </c>
    </row>
    <row r="76" spans="1:18" x14ac:dyDescent="0.25">
      <c r="A76" s="9">
        <f t="shared" si="20"/>
        <v>2099</v>
      </c>
      <c r="B76" s="15">
        <f t="shared" si="21"/>
        <v>103</v>
      </c>
      <c r="C76" s="14">
        <f t="shared" si="17"/>
        <v>0</v>
      </c>
      <c r="D76" s="14">
        <f t="shared" si="22"/>
        <v>45736.419850758946</v>
      </c>
      <c r="E76" s="14">
        <f t="shared" si="18"/>
        <v>1029.0694466420762</v>
      </c>
      <c r="F76" s="14">
        <f t="shared" si="19"/>
        <v>2744.1851910455366</v>
      </c>
      <c r="G76" s="14">
        <f t="shared" si="15"/>
        <v>6391.7451438550315</v>
      </c>
      <c r="H76" s="14">
        <f t="shared" si="23"/>
        <v>44021.304106355485</v>
      </c>
      <c r="I76" s="26">
        <f t="shared" si="16"/>
        <v>8483.546992753998</v>
      </c>
      <c r="O76" s="14">
        <v>25251.086136649472</v>
      </c>
      <c r="P76" s="14">
        <v>83524.305503374853</v>
      </c>
      <c r="Q76" s="14">
        <v>280962.66391478822</v>
      </c>
      <c r="R76" s="14">
        <v>3267185.2783534229</v>
      </c>
    </row>
    <row r="77" spans="1:18" x14ac:dyDescent="0.25">
      <c r="A77" s="9">
        <f t="shared" si="20"/>
        <v>2100</v>
      </c>
      <c r="B77" s="15">
        <f t="shared" si="21"/>
        <v>104</v>
      </c>
      <c r="C77" s="14">
        <f t="shared" si="17"/>
        <v>0</v>
      </c>
      <c r="D77" s="14">
        <f t="shared" si="22"/>
        <v>44021.304106355485</v>
      </c>
      <c r="E77" s="14">
        <f t="shared" si="18"/>
        <v>990.47934239299832</v>
      </c>
      <c r="F77" s="14">
        <f t="shared" si="19"/>
        <v>2641.2782463813292</v>
      </c>
      <c r="G77" s="14">
        <f t="shared" si="15"/>
        <v>6290.4759317320786</v>
      </c>
      <c r="H77" s="14">
        <f t="shared" si="23"/>
        <v>42370.505202367152</v>
      </c>
      <c r="I77" s="26">
        <f t="shared" si="16"/>
        <v>7985.7349442794366</v>
      </c>
      <c r="O77" s="14">
        <v>24241.042691183491</v>
      </c>
      <c r="P77" s="14">
        <v>81853.819393307349</v>
      </c>
      <c r="Q77" s="14">
        <v>280962.66391478822</v>
      </c>
      <c r="R77" s="14">
        <v>3397872.6894875597</v>
      </c>
    </row>
    <row r="78" spans="1:18" ht="15.75" thickBot="1" x14ac:dyDescent="0.3">
      <c r="A78" s="27">
        <f t="shared" si="20"/>
        <v>2101</v>
      </c>
      <c r="B78" s="28">
        <f t="shared" si="21"/>
        <v>105</v>
      </c>
      <c r="C78" s="29">
        <f t="shared" si="17"/>
        <v>0</v>
      </c>
      <c r="D78" s="29">
        <f t="shared" si="22"/>
        <v>42370.505202367152</v>
      </c>
      <c r="E78" s="29">
        <f t="shared" si="18"/>
        <v>953.33636705326091</v>
      </c>
      <c r="F78" s="29">
        <f t="shared" si="19"/>
        <v>2542.2303121420291</v>
      </c>
      <c r="G78" s="29">
        <f t="shared" si="15"/>
        <v>6190.8112036886969</v>
      </c>
      <c r="H78" s="29">
        <f t="shared" si="23"/>
        <v>40781.61125727839</v>
      </c>
      <c r="I78" s="30">
        <f t="shared" si="16"/>
        <v>7517.1343607520375</v>
      </c>
      <c r="O78" s="29">
        <v>23271.40098353615</v>
      </c>
      <c r="P78" s="29">
        <v>80216.743005441196</v>
      </c>
      <c r="Q78" s="14">
        <v>280962.66391478822</v>
      </c>
      <c r="R78" s="14">
        <v>3533787.5970670623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956F7-D1F1-4AA3-AD6A-5DE3113EB08D}">
  <dimension ref="B1:U24"/>
  <sheetViews>
    <sheetView tabSelected="1" workbookViewId="0">
      <selection activeCell="C8" sqref="C8"/>
    </sheetView>
  </sheetViews>
  <sheetFormatPr defaultRowHeight="15" x14ac:dyDescent="0.25"/>
  <cols>
    <col min="2" max="2" width="19.7109375" customWidth="1"/>
    <col min="3" max="3" width="14.28515625" customWidth="1"/>
  </cols>
  <sheetData>
    <row r="1" spans="2:3" ht="15.75" thickBot="1" x14ac:dyDescent="0.3"/>
    <row r="2" spans="2:3" x14ac:dyDescent="0.25">
      <c r="B2" s="1" t="s">
        <v>14</v>
      </c>
      <c r="C2" s="2">
        <v>29</v>
      </c>
    </row>
    <row r="3" spans="2:3" x14ac:dyDescent="0.25">
      <c r="B3" s="9" t="s">
        <v>0</v>
      </c>
      <c r="C3" s="4">
        <v>65</v>
      </c>
    </row>
    <row r="4" spans="2:3" x14ac:dyDescent="0.25">
      <c r="B4" s="9" t="s">
        <v>1</v>
      </c>
      <c r="C4" s="5">
        <v>2000</v>
      </c>
    </row>
    <row r="5" spans="2:3" x14ac:dyDescent="0.25">
      <c r="B5" s="9" t="s">
        <v>2</v>
      </c>
      <c r="C5" s="6">
        <v>3500</v>
      </c>
    </row>
    <row r="6" spans="2:3" x14ac:dyDescent="0.25">
      <c r="B6" s="3" t="s">
        <v>8</v>
      </c>
      <c r="C6" s="10">
        <v>2.2499999999999999E-2</v>
      </c>
    </row>
    <row r="7" spans="2:3" x14ac:dyDescent="0.25">
      <c r="B7" s="3" t="s">
        <v>4</v>
      </c>
      <c r="C7" s="12">
        <v>0.06</v>
      </c>
    </row>
    <row r="8" spans="2:3" x14ac:dyDescent="0.25">
      <c r="B8" s="3" t="s">
        <v>5</v>
      </c>
      <c r="C8" s="13">
        <v>2.2499999999999999E-2</v>
      </c>
    </row>
    <row r="9" spans="2:3" ht="15.75" thickBot="1" x14ac:dyDescent="0.3">
      <c r="B9" s="7" t="s">
        <v>13</v>
      </c>
      <c r="C9" s="8">
        <v>2025</v>
      </c>
    </row>
    <row r="24" spans="21:21" x14ac:dyDescent="0.25">
      <c r="U24" t="s">
        <v>25</v>
      </c>
    </row>
  </sheetData>
  <dataValidations count="1">
    <dataValidation type="whole" operator="greaterThan" allowBlank="1" showInputMessage="1" showErrorMessage="1" error="You cannot choose a year in the past!" promptTitle="Start Year" prompt="Choose your start year" sqref="C9" xr:uid="{5B4C8D5E-81B4-4000-ADF9-A1785712EE37}">
      <formula1>2024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31A70D55-B92E-4675-80AE-32F3AD47EDE1}">
          <x14:formula1>
            <xm:f>'Under-the-Hood'!$G$2:$G$45</xm:f>
          </x14:formula1>
          <xm:sqref>C8</xm:sqref>
        </x14:dataValidation>
        <x14:dataValidation type="list" allowBlank="1" showInputMessage="1" showErrorMessage="1" xr:uid="{10516D2C-6B72-4634-BDDD-C9EB23C7E573}">
          <x14:formula1>
            <xm:f>'Under-the-Hood'!$F$2:$F$79</xm:f>
          </x14:formula1>
          <xm:sqref>C7</xm:sqref>
        </x14:dataValidation>
        <x14:dataValidation type="list" allowBlank="1" showInputMessage="1" showErrorMessage="1" xr:uid="{5919FE47-8246-49BE-A8AC-21733C9515C1}">
          <x14:formula1>
            <xm:f>'Under-the-Hood'!$E$2:$E$86</xm:f>
          </x14:formula1>
          <xm:sqref>C6</xm:sqref>
        </x14:dataValidation>
        <x14:dataValidation type="list" allowBlank="1" showInputMessage="1" showErrorMessage="1" xr:uid="{FECA1254-1B53-411D-A12E-D51A465AD0B8}">
          <x14:formula1>
            <xm:f>'Under-the-Hood'!$D$2:$D$95</xm:f>
          </x14:formula1>
          <xm:sqref>C5</xm:sqref>
        </x14:dataValidation>
        <x14:dataValidation type="list" allowBlank="1" showInputMessage="1" showErrorMessage="1" promptTitle="Starting Portfolio" prompt="How much are you starting with?" xr:uid="{2B6BC5F3-E070-4DC0-AA29-60CD68268D54}">
          <x14:formula1>
            <xm:f>'Under-the-Hood'!$C$2:$C$78</xm:f>
          </x14:formula1>
          <xm:sqref>C4</xm:sqref>
        </x14:dataValidation>
        <x14:dataValidation type="list" errorStyle="warning" allowBlank="1" showInputMessage="1" showErrorMessage="1" errorTitle="Retirement Age" error="Is this a feasible retirement age?" promptTitle="Retirement Age" prompt="Select your projected retirement age" xr:uid="{878AB12D-EB0F-494F-A4AF-C218D8D5D22B}">
          <x14:formula1>
            <xm:f>'Under-the-Hood'!$B$2:$B$44</xm:f>
          </x14:formula1>
          <xm:sqref>C3</xm:sqref>
        </x14:dataValidation>
        <x14:dataValidation type="list" allowBlank="1" showInputMessage="1" showErrorMessage="1" errorTitle="Current Age" error="Age under 18 not allowed" promptTitle="Current Age" prompt="What is your current age?" xr:uid="{B365E3D6-6809-45C4-8D66-7C22A041644E}">
          <x14:formula1>
            <xm:f>'Under-the-Hood'!$A$2:$A$78</xm:f>
          </x14:formula1>
          <xm:sqref>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9C80A-A591-45FD-B5B6-2EE84B9CCAD7}">
  <dimension ref="A1:Q95"/>
  <sheetViews>
    <sheetView workbookViewId="0">
      <selection activeCell="D33" sqref="D33"/>
    </sheetView>
  </sheetViews>
  <sheetFormatPr defaultRowHeight="15" x14ac:dyDescent="0.25"/>
  <cols>
    <col min="1" max="1" width="15.85546875" customWidth="1"/>
    <col min="2" max="2" width="15.140625" customWidth="1"/>
    <col min="3" max="3" width="16" customWidth="1"/>
    <col min="4" max="4" width="27.140625" customWidth="1"/>
    <col min="5" max="5" width="19.5703125" style="11" customWidth="1"/>
    <col min="6" max="6" width="15" customWidth="1"/>
    <col min="7" max="7" width="16.140625" customWidth="1"/>
  </cols>
  <sheetData>
    <row r="1" spans="1:17" x14ac:dyDescent="0.25">
      <c r="A1" s="16" t="s">
        <v>6</v>
      </c>
      <c r="B1" s="16" t="s">
        <v>0</v>
      </c>
      <c r="C1" s="16" t="s">
        <v>1</v>
      </c>
      <c r="D1" s="16" t="s">
        <v>2</v>
      </c>
      <c r="E1" s="17" t="s">
        <v>3</v>
      </c>
      <c r="F1" s="16" t="s">
        <v>9</v>
      </c>
      <c r="G1" s="16" t="s">
        <v>10</v>
      </c>
    </row>
    <row r="2" spans="1:17" x14ac:dyDescent="0.25">
      <c r="A2">
        <v>25</v>
      </c>
      <c r="B2">
        <v>59</v>
      </c>
      <c r="C2">
        <v>0</v>
      </c>
      <c r="D2">
        <v>0</v>
      </c>
      <c r="E2" s="11">
        <f>O2/100</f>
        <v>0</v>
      </c>
      <c r="F2">
        <f>P2/100</f>
        <v>0.01</v>
      </c>
      <c r="G2" s="11">
        <f>Q2/100</f>
        <v>0</v>
      </c>
      <c r="O2" s="11">
        <v>0</v>
      </c>
      <c r="P2">
        <v>1</v>
      </c>
      <c r="Q2" s="11">
        <v>0</v>
      </c>
    </row>
    <row r="3" spans="1:17" x14ac:dyDescent="0.25">
      <c r="A3">
        <v>26</v>
      </c>
      <c r="B3">
        <v>60</v>
      </c>
      <c r="C3">
        <v>1000</v>
      </c>
      <c r="D3">
        <v>500</v>
      </c>
      <c r="E3" s="11">
        <f t="shared" ref="E3:E66" si="0">O3/100</f>
        <v>2.5000000000000001E-3</v>
      </c>
      <c r="F3">
        <f t="shared" ref="F3:F66" si="1">P3/100</f>
        <v>1.4999999999999999E-2</v>
      </c>
      <c r="G3" s="11">
        <f t="shared" ref="G3:G45" si="2">Q3/100</f>
        <v>2.5000000000000001E-3</v>
      </c>
      <c r="O3" s="11">
        <v>0.25</v>
      </c>
      <c r="P3">
        <v>1.5</v>
      </c>
      <c r="Q3" s="11">
        <v>0.25</v>
      </c>
    </row>
    <row r="4" spans="1:17" x14ac:dyDescent="0.25">
      <c r="A4">
        <v>27</v>
      </c>
      <c r="B4">
        <v>61</v>
      </c>
      <c r="C4">
        <v>2000</v>
      </c>
      <c r="D4">
        <v>1000</v>
      </c>
      <c r="E4" s="11">
        <f t="shared" si="0"/>
        <v>5.0000000000000001E-3</v>
      </c>
      <c r="F4">
        <f t="shared" si="1"/>
        <v>0.02</v>
      </c>
      <c r="G4" s="11">
        <f t="shared" si="2"/>
        <v>5.0000000000000001E-3</v>
      </c>
      <c r="O4" s="11">
        <v>0.5</v>
      </c>
      <c r="P4">
        <v>2</v>
      </c>
      <c r="Q4" s="11">
        <v>0.5</v>
      </c>
    </row>
    <row r="5" spans="1:17" x14ac:dyDescent="0.25">
      <c r="A5">
        <v>28</v>
      </c>
      <c r="B5">
        <v>62</v>
      </c>
      <c r="C5">
        <v>3000</v>
      </c>
      <c r="D5">
        <v>1500</v>
      </c>
      <c r="E5" s="11">
        <f t="shared" si="0"/>
        <v>7.4999999999999997E-3</v>
      </c>
      <c r="F5">
        <f t="shared" si="1"/>
        <v>2.5000000000000001E-2</v>
      </c>
      <c r="G5" s="11">
        <f t="shared" si="2"/>
        <v>7.4999999999999997E-3</v>
      </c>
      <c r="O5" s="11">
        <v>0.75</v>
      </c>
      <c r="P5">
        <v>2.5</v>
      </c>
      <c r="Q5" s="11">
        <v>0.75</v>
      </c>
    </row>
    <row r="6" spans="1:17" x14ac:dyDescent="0.25">
      <c r="A6">
        <v>29</v>
      </c>
      <c r="B6">
        <v>63</v>
      </c>
      <c r="C6">
        <v>4000</v>
      </c>
      <c r="D6">
        <v>2000</v>
      </c>
      <c r="E6" s="11">
        <f t="shared" si="0"/>
        <v>0.01</v>
      </c>
      <c r="F6">
        <f t="shared" si="1"/>
        <v>0.03</v>
      </c>
      <c r="G6" s="11">
        <f t="shared" si="2"/>
        <v>0.01</v>
      </c>
      <c r="O6" s="11">
        <v>1</v>
      </c>
      <c r="P6">
        <v>3</v>
      </c>
      <c r="Q6" s="11">
        <v>1</v>
      </c>
    </row>
    <row r="7" spans="1:17" x14ac:dyDescent="0.25">
      <c r="A7">
        <v>30</v>
      </c>
      <c r="B7">
        <v>64</v>
      </c>
      <c r="C7">
        <v>5000</v>
      </c>
      <c r="D7">
        <v>2500</v>
      </c>
      <c r="E7" s="11">
        <f t="shared" si="0"/>
        <v>1.2500000000000001E-2</v>
      </c>
      <c r="F7">
        <f t="shared" si="1"/>
        <v>3.5000000000000003E-2</v>
      </c>
      <c r="G7" s="11">
        <f t="shared" si="2"/>
        <v>1.2500000000000001E-2</v>
      </c>
      <c r="O7" s="11">
        <v>1.25</v>
      </c>
      <c r="P7">
        <v>3.5</v>
      </c>
      <c r="Q7" s="11">
        <v>1.25</v>
      </c>
    </row>
    <row r="8" spans="1:17" x14ac:dyDescent="0.25">
      <c r="A8">
        <v>31</v>
      </c>
      <c r="B8">
        <v>65</v>
      </c>
      <c r="C8">
        <v>6000</v>
      </c>
      <c r="D8">
        <v>3000</v>
      </c>
      <c r="E8" s="11">
        <f t="shared" si="0"/>
        <v>1.4999999999999999E-2</v>
      </c>
      <c r="F8">
        <f t="shared" si="1"/>
        <v>0.04</v>
      </c>
      <c r="G8" s="11">
        <f t="shared" si="2"/>
        <v>1.4999999999999999E-2</v>
      </c>
      <c r="O8" s="11">
        <v>1.5</v>
      </c>
      <c r="P8">
        <v>4</v>
      </c>
      <c r="Q8" s="11">
        <v>1.5</v>
      </c>
    </row>
    <row r="9" spans="1:17" x14ac:dyDescent="0.25">
      <c r="A9">
        <v>32</v>
      </c>
      <c r="B9">
        <v>66</v>
      </c>
      <c r="C9">
        <v>7000</v>
      </c>
      <c r="D9">
        <v>3500</v>
      </c>
      <c r="E9" s="11">
        <f t="shared" si="0"/>
        <v>1.7500000000000002E-2</v>
      </c>
      <c r="F9">
        <f t="shared" si="1"/>
        <v>4.4999999999999998E-2</v>
      </c>
      <c r="G9" s="11">
        <f t="shared" si="2"/>
        <v>1.7500000000000002E-2</v>
      </c>
      <c r="O9" s="11">
        <v>1.75</v>
      </c>
      <c r="P9">
        <v>4.5</v>
      </c>
      <c r="Q9" s="11">
        <v>1.75</v>
      </c>
    </row>
    <row r="10" spans="1:17" x14ac:dyDescent="0.25">
      <c r="A10">
        <v>33</v>
      </c>
      <c r="B10">
        <v>67</v>
      </c>
      <c r="C10">
        <v>8000</v>
      </c>
      <c r="D10">
        <v>4000</v>
      </c>
      <c r="E10" s="11">
        <f t="shared" si="0"/>
        <v>0.02</v>
      </c>
      <c r="F10">
        <f t="shared" si="1"/>
        <v>0.05</v>
      </c>
      <c r="G10" s="11">
        <f t="shared" si="2"/>
        <v>0.02</v>
      </c>
      <c r="O10" s="11">
        <v>2</v>
      </c>
      <c r="P10">
        <v>5</v>
      </c>
      <c r="Q10" s="11">
        <v>2</v>
      </c>
    </row>
    <row r="11" spans="1:17" x14ac:dyDescent="0.25">
      <c r="A11">
        <v>34</v>
      </c>
      <c r="B11">
        <v>68</v>
      </c>
      <c r="C11">
        <v>9000</v>
      </c>
      <c r="D11">
        <v>4500</v>
      </c>
      <c r="E11" s="11">
        <f t="shared" si="0"/>
        <v>2.2499999999999999E-2</v>
      </c>
      <c r="F11">
        <f t="shared" si="1"/>
        <v>5.5E-2</v>
      </c>
      <c r="G11" s="11">
        <f t="shared" si="2"/>
        <v>2.2499999999999999E-2</v>
      </c>
      <c r="O11" s="11">
        <v>2.25</v>
      </c>
      <c r="P11">
        <v>5.5</v>
      </c>
      <c r="Q11" s="11">
        <v>2.25</v>
      </c>
    </row>
    <row r="12" spans="1:17" x14ac:dyDescent="0.25">
      <c r="A12">
        <v>35</v>
      </c>
      <c r="B12">
        <v>69</v>
      </c>
      <c r="C12">
        <v>10000</v>
      </c>
      <c r="D12">
        <v>5000</v>
      </c>
      <c r="E12" s="11">
        <f t="shared" si="0"/>
        <v>2.5000000000000001E-2</v>
      </c>
      <c r="F12">
        <f t="shared" si="1"/>
        <v>0.06</v>
      </c>
      <c r="G12" s="11">
        <f t="shared" si="2"/>
        <v>2.5000000000000001E-2</v>
      </c>
      <c r="O12" s="11">
        <v>2.5</v>
      </c>
      <c r="P12">
        <v>6</v>
      </c>
      <c r="Q12" s="11">
        <v>2.5</v>
      </c>
    </row>
    <row r="13" spans="1:17" x14ac:dyDescent="0.25">
      <c r="A13">
        <v>36</v>
      </c>
      <c r="B13">
        <v>70</v>
      </c>
      <c r="C13">
        <v>11000</v>
      </c>
      <c r="D13">
        <v>5500</v>
      </c>
      <c r="E13" s="11">
        <f t="shared" si="0"/>
        <v>2.75E-2</v>
      </c>
      <c r="F13">
        <f t="shared" si="1"/>
        <v>6.5000000000000002E-2</v>
      </c>
      <c r="G13" s="11">
        <f t="shared" si="2"/>
        <v>2.75E-2</v>
      </c>
      <c r="O13" s="11">
        <v>2.75</v>
      </c>
      <c r="P13">
        <v>6.5</v>
      </c>
      <c r="Q13" s="11">
        <v>2.75</v>
      </c>
    </row>
    <row r="14" spans="1:17" x14ac:dyDescent="0.25">
      <c r="A14">
        <v>37</v>
      </c>
      <c r="B14">
        <v>71</v>
      </c>
      <c r="C14">
        <v>12000</v>
      </c>
      <c r="D14">
        <v>6000</v>
      </c>
      <c r="E14" s="11">
        <f t="shared" si="0"/>
        <v>0.03</v>
      </c>
      <c r="F14">
        <f t="shared" si="1"/>
        <v>7.0000000000000007E-2</v>
      </c>
      <c r="G14" s="11">
        <f t="shared" si="2"/>
        <v>0.03</v>
      </c>
      <c r="O14" s="11">
        <v>3</v>
      </c>
      <c r="P14">
        <v>7</v>
      </c>
      <c r="Q14" s="11">
        <v>3</v>
      </c>
    </row>
    <row r="15" spans="1:17" x14ac:dyDescent="0.25">
      <c r="A15">
        <v>38</v>
      </c>
      <c r="B15">
        <v>72</v>
      </c>
      <c r="C15">
        <v>13000</v>
      </c>
      <c r="D15">
        <v>6500</v>
      </c>
      <c r="E15" s="11">
        <f t="shared" si="0"/>
        <v>3.2500000000000001E-2</v>
      </c>
      <c r="F15">
        <f t="shared" si="1"/>
        <v>7.4999999999999997E-2</v>
      </c>
      <c r="G15" s="11">
        <f t="shared" si="2"/>
        <v>3.2500000000000001E-2</v>
      </c>
      <c r="O15" s="11">
        <v>3.25</v>
      </c>
      <c r="P15">
        <v>7.5</v>
      </c>
      <c r="Q15" s="11">
        <v>3.25</v>
      </c>
    </row>
    <row r="16" spans="1:17" x14ac:dyDescent="0.25">
      <c r="A16">
        <v>39</v>
      </c>
      <c r="B16">
        <v>73</v>
      </c>
      <c r="C16">
        <v>14000</v>
      </c>
      <c r="D16">
        <v>7000</v>
      </c>
      <c r="E16" s="11">
        <f t="shared" si="0"/>
        <v>3.5000000000000003E-2</v>
      </c>
      <c r="F16">
        <f t="shared" si="1"/>
        <v>0.08</v>
      </c>
      <c r="G16" s="11">
        <f t="shared" si="2"/>
        <v>3.5000000000000003E-2</v>
      </c>
      <c r="O16" s="11">
        <v>3.5</v>
      </c>
      <c r="P16">
        <v>8</v>
      </c>
      <c r="Q16" s="11">
        <v>3.5</v>
      </c>
    </row>
    <row r="17" spans="1:17" x14ac:dyDescent="0.25">
      <c r="A17">
        <v>40</v>
      </c>
      <c r="B17">
        <v>74</v>
      </c>
      <c r="C17">
        <v>15000</v>
      </c>
      <c r="D17">
        <v>7500</v>
      </c>
      <c r="E17" s="11">
        <f t="shared" si="0"/>
        <v>3.7499999999999999E-2</v>
      </c>
      <c r="F17">
        <f t="shared" si="1"/>
        <v>8.5000000000000006E-2</v>
      </c>
      <c r="G17" s="11">
        <f t="shared" si="2"/>
        <v>3.7499999999999999E-2</v>
      </c>
      <c r="O17" s="11">
        <v>3.75</v>
      </c>
      <c r="P17">
        <v>8.5</v>
      </c>
      <c r="Q17" s="11">
        <v>3.75</v>
      </c>
    </row>
    <row r="18" spans="1:17" x14ac:dyDescent="0.25">
      <c r="A18">
        <v>41</v>
      </c>
      <c r="B18">
        <v>75</v>
      </c>
      <c r="C18">
        <v>16000</v>
      </c>
      <c r="D18">
        <v>8000</v>
      </c>
      <c r="E18" s="11">
        <f t="shared" si="0"/>
        <v>0.04</v>
      </c>
      <c r="F18">
        <f t="shared" si="1"/>
        <v>0.09</v>
      </c>
      <c r="G18" s="11">
        <f t="shared" si="2"/>
        <v>0.04</v>
      </c>
      <c r="O18" s="11">
        <v>4</v>
      </c>
      <c r="P18">
        <v>9</v>
      </c>
      <c r="Q18" s="11">
        <v>4</v>
      </c>
    </row>
    <row r="19" spans="1:17" x14ac:dyDescent="0.25">
      <c r="A19">
        <v>42</v>
      </c>
      <c r="B19">
        <v>76</v>
      </c>
      <c r="C19">
        <v>17000</v>
      </c>
      <c r="D19">
        <v>8500</v>
      </c>
      <c r="E19" s="11">
        <f t="shared" si="0"/>
        <v>4.2500000000000003E-2</v>
      </c>
      <c r="F19">
        <f t="shared" si="1"/>
        <v>9.5000000000000001E-2</v>
      </c>
      <c r="G19" s="11">
        <f t="shared" si="2"/>
        <v>4.2500000000000003E-2</v>
      </c>
      <c r="O19" s="11">
        <v>4.25</v>
      </c>
      <c r="P19">
        <v>9.5</v>
      </c>
      <c r="Q19" s="11">
        <v>4.25</v>
      </c>
    </row>
    <row r="20" spans="1:17" x14ac:dyDescent="0.25">
      <c r="A20">
        <v>43</v>
      </c>
      <c r="B20">
        <v>77</v>
      </c>
      <c r="C20">
        <v>18000</v>
      </c>
      <c r="D20">
        <v>9000</v>
      </c>
      <c r="E20" s="11">
        <f t="shared" si="0"/>
        <v>4.4999999999999998E-2</v>
      </c>
      <c r="F20">
        <f t="shared" si="1"/>
        <v>0.1</v>
      </c>
      <c r="G20" s="11">
        <f t="shared" si="2"/>
        <v>4.4999999999999998E-2</v>
      </c>
      <c r="O20" s="11">
        <v>4.5</v>
      </c>
      <c r="P20">
        <v>10</v>
      </c>
      <c r="Q20" s="11">
        <v>4.5</v>
      </c>
    </row>
    <row r="21" spans="1:17" x14ac:dyDescent="0.25">
      <c r="A21">
        <v>44</v>
      </c>
      <c r="B21">
        <v>78</v>
      </c>
      <c r="C21">
        <v>19000</v>
      </c>
      <c r="D21">
        <v>9500</v>
      </c>
      <c r="E21" s="11">
        <f t="shared" si="0"/>
        <v>4.7500000000000001E-2</v>
      </c>
      <c r="F21">
        <f t="shared" si="1"/>
        <v>0.105</v>
      </c>
      <c r="G21" s="11">
        <f t="shared" si="2"/>
        <v>4.7500000000000001E-2</v>
      </c>
      <c r="O21" s="11">
        <v>4.75</v>
      </c>
      <c r="P21">
        <v>10.5</v>
      </c>
      <c r="Q21" s="11">
        <v>4.75</v>
      </c>
    </row>
    <row r="22" spans="1:17" x14ac:dyDescent="0.25">
      <c r="A22">
        <v>45</v>
      </c>
      <c r="B22">
        <v>79</v>
      </c>
      <c r="C22">
        <v>20000</v>
      </c>
      <c r="D22">
        <v>10000</v>
      </c>
      <c r="E22" s="11">
        <f t="shared" si="0"/>
        <v>0.05</v>
      </c>
      <c r="F22">
        <f t="shared" si="1"/>
        <v>0.11</v>
      </c>
      <c r="G22" s="11">
        <f t="shared" si="2"/>
        <v>0.05</v>
      </c>
      <c r="O22" s="11">
        <v>5</v>
      </c>
      <c r="P22">
        <v>11</v>
      </c>
      <c r="Q22" s="11">
        <v>5</v>
      </c>
    </row>
    <row r="23" spans="1:17" x14ac:dyDescent="0.25">
      <c r="A23">
        <v>46</v>
      </c>
      <c r="B23">
        <v>80</v>
      </c>
      <c r="C23">
        <v>21000</v>
      </c>
      <c r="D23">
        <v>10500</v>
      </c>
      <c r="E23" s="11">
        <f t="shared" si="0"/>
        <v>5.2499999999999998E-2</v>
      </c>
      <c r="F23">
        <f t="shared" si="1"/>
        <v>0.115</v>
      </c>
      <c r="G23" s="11">
        <f t="shared" si="2"/>
        <v>5.2499999999999998E-2</v>
      </c>
      <c r="O23" s="11">
        <v>5.25</v>
      </c>
      <c r="P23">
        <v>11.5</v>
      </c>
      <c r="Q23" s="11">
        <v>5.25</v>
      </c>
    </row>
    <row r="24" spans="1:17" x14ac:dyDescent="0.25">
      <c r="A24">
        <v>47</v>
      </c>
      <c r="B24">
        <v>81</v>
      </c>
      <c r="C24">
        <v>22000</v>
      </c>
      <c r="D24">
        <v>11000</v>
      </c>
      <c r="E24" s="11">
        <f t="shared" si="0"/>
        <v>5.5E-2</v>
      </c>
      <c r="F24">
        <f t="shared" si="1"/>
        <v>0.12</v>
      </c>
      <c r="G24" s="11">
        <f t="shared" si="2"/>
        <v>5.5E-2</v>
      </c>
      <c r="O24" s="11">
        <v>5.5</v>
      </c>
      <c r="P24">
        <v>12</v>
      </c>
      <c r="Q24" s="11">
        <v>5.5</v>
      </c>
    </row>
    <row r="25" spans="1:17" x14ac:dyDescent="0.25">
      <c r="A25">
        <v>48</v>
      </c>
      <c r="B25">
        <v>82</v>
      </c>
      <c r="C25">
        <v>23000</v>
      </c>
      <c r="D25">
        <v>11500</v>
      </c>
      <c r="E25" s="11">
        <f t="shared" si="0"/>
        <v>5.7500000000000002E-2</v>
      </c>
      <c r="F25">
        <f t="shared" si="1"/>
        <v>0.125</v>
      </c>
      <c r="G25" s="11">
        <f t="shared" si="2"/>
        <v>5.7500000000000002E-2</v>
      </c>
      <c r="O25" s="11">
        <v>5.75</v>
      </c>
      <c r="P25">
        <v>12.5</v>
      </c>
      <c r="Q25" s="11">
        <v>5.75</v>
      </c>
    </row>
    <row r="26" spans="1:17" x14ac:dyDescent="0.25">
      <c r="A26">
        <v>49</v>
      </c>
      <c r="B26">
        <v>83</v>
      </c>
      <c r="C26">
        <v>24000</v>
      </c>
      <c r="D26">
        <v>12000</v>
      </c>
      <c r="E26" s="11">
        <f t="shared" si="0"/>
        <v>0.06</v>
      </c>
      <c r="F26">
        <f t="shared" si="1"/>
        <v>0.13</v>
      </c>
      <c r="G26" s="11">
        <f t="shared" si="2"/>
        <v>0.06</v>
      </c>
      <c r="O26" s="11">
        <v>6</v>
      </c>
      <c r="P26">
        <v>13</v>
      </c>
      <c r="Q26" s="11">
        <v>6</v>
      </c>
    </row>
    <row r="27" spans="1:17" x14ac:dyDescent="0.25">
      <c r="A27">
        <v>50</v>
      </c>
      <c r="B27">
        <v>84</v>
      </c>
      <c r="C27">
        <v>25000</v>
      </c>
      <c r="D27">
        <v>12500</v>
      </c>
      <c r="E27" s="11">
        <f t="shared" si="0"/>
        <v>6.25E-2</v>
      </c>
      <c r="F27">
        <f t="shared" si="1"/>
        <v>0.13500000000000001</v>
      </c>
      <c r="G27" s="11">
        <f t="shared" si="2"/>
        <v>6.25E-2</v>
      </c>
      <c r="O27" s="11">
        <v>6.25</v>
      </c>
      <c r="P27">
        <v>13.5</v>
      </c>
      <c r="Q27" s="11">
        <v>6.25</v>
      </c>
    </row>
    <row r="28" spans="1:17" x14ac:dyDescent="0.25">
      <c r="A28">
        <v>51</v>
      </c>
      <c r="B28">
        <v>85</v>
      </c>
      <c r="C28">
        <v>26000</v>
      </c>
      <c r="D28">
        <v>13000</v>
      </c>
      <c r="E28" s="11">
        <f t="shared" si="0"/>
        <v>6.5000000000000002E-2</v>
      </c>
      <c r="F28">
        <f t="shared" si="1"/>
        <v>0.14000000000000001</v>
      </c>
      <c r="G28" s="11">
        <f t="shared" si="2"/>
        <v>6.5000000000000002E-2</v>
      </c>
      <c r="O28" s="11">
        <v>6.5</v>
      </c>
      <c r="P28">
        <v>14</v>
      </c>
      <c r="Q28" s="11">
        <v>6.5</v>
      </c>
    </row>
    <row r="29" spans="1:17" x14ac:dyDescent="0.25">
      <c r="A29">
        <v>52</v>
      </c>
      <c r="B29">
        <v>86</v>
      </c>
      <c r="C29">
        <v>27000</v>
      </c>
      <c r="D29">
        <v>13500</v>
      </c>
      <c r="E29" s="11">
        <f t="shared" si="0"/>
        <v>6.7500000000000004E-2</v>
      </c>
      <c r="F29">
        <f t="shared" si="1"/>
        <v>0.14499999999999999</v>
      </c>
      <c r="G29" s="11">
        <f t="shared" si="2"/>
        <v>6.7500000000000004E-2</v>
      </c>
      <c r="O29" s="11">
        <v>6.75</v>
      </c>
      <c r="P29">
        <v>14.5</v>
      </c>
      <c r="Q29" s="11">
        <v>6.75</v>
      </c>
    </row>
    <row r="30" spans="1:17" x14ac:dyDescent="0.25">
      <c r="A30">
        <v>53</v>
      </c>
      <c r="B30">
        <v>87</v>
      </c>
      <c r="C30">
        <v>28000</v>
      </c>
      <c r="D30">
        <v>14000</v>
      </c>
      <c r="E30" s="11">
        <f t="shared" si="0"/>
        <v>7.0000000000000007E-2</v>
      </c>
      <c r="F30">
        <f t="shared" si="1"/>
        <v>0.15</v>
      </c>
      <c r="G30" s="11">
        <f t="shared" si="2"/>
        <v>7.0000000000000007E-2</v>
      </c>
      <c r="O30" s="11">
        <v>7</v>
      </c>
      <c r="P30">
        <v>15</v>
      </c>
      <c r="Q30" s="11">
        <v>7</v>
      </c>
    </row>
    <row r="31" spans="1:17" x14ac:dyDescent="0.25">
      <c r="A31">
        <v>54</v>
      </c>
      <c r="B31">
        <v>88</v>
      </c>
      <c r="C31">
        <v>29000</v>
      </c>
      <c r="D31">
        <v>14500</v>
      </c>
      <c r="E31" s="11">
        <f t="shared" si="0"/>
        <v>7.2499999999999995E-2</v>
      </c>
      <c r="F31">
        <f t="shared" si="1"/>
        <v>0.155</v>
      </c>
      <c r="G31" s="11">
        <f t="shared" si="2"/>
        <v>7.2499999999999995E-2</v>
      </c>
      <c r="O31" s="11">
        <v>7.25</v>
      </c>
      <c r="P31">
        <v>15.5</v>
      </c>
      <c r="Q31" s="11">
        <v>7.25</v>
      </c>
    </row>
    <row r="32" spans="1:17" x14ac:dyDescent="0.25">
      <c r="A32">
        <v>55</v>
      </c>
      <c r="B32">
        <v>89</v>
      </c>
      <c r="C32">
        <v>30000</v>
      </c>
      <c r="D32">
        <v>15000</v>
      </c>
      <c r="E32" s="11">
        <f t="shared" si="0"/>
        <v>7.4999999999999997E-2</v>
      </c>
      <c r="F32">
        <f t="shared" si="1"/>
        <v>0.16</v>
      </c>
      <c r="G32" s="11">
        <f t="shared" si="2"/>
        <v>7.4999999999999997E-2</v>
      </c>
      <c r="O32" s="11">
        <v>7.5</v>
      </c>
      <c r="P32">
        <v>16</v>
      </c>
      <c r="Q32" s="11">
        <v>7.5</v>
      </c>
    </row>
    <row r="33" spans="1:17" x14ac:dyDescent="0.25">
      <c r="A33">
        <v>56</v>
      </c>
      <c r="B33">
        <v>90</v>
      </c>
      <c r="C33">
        <v>31000</v>
      </c>
      <c r="D33">
        <v>15500</v>
      </c>
      <c r="E33" s="11">
        <f t="shared" si="0"/>
        <v>7.7499999999999999E-2</v>
      </c>
      <c r="F33">
        <f t="shared" si="1"/>
        <v>0.16500000000000001</v>
      </c>
      <c r="G33" s="11">
        <f t="shared" si="2"/>
        <v>7.7499999999999999E-2</v>
      </c>
      <c r="O33" s="11">
        <v>7.75</v>
      </c>
      <c r="P33">
        <v>16.5</v>
      </c>
      <c r="Q33" s="11">
        <v>7.75</v>
      </c>
    </row>
    <row r="34" spans="1:17" x14ac:dyDescent="0.25">
      <c r="A34">
        <v>57</v>
      </c>
      <c r="B34">
        <v>91</v>
      </c>
      <c r="C34">
        <v>32000</v>
      </c>
      <c r="D34">
        <v>16000</v>
      </c>
      <c r="E34" s="11">
        <f t="shared" si="0"/>
        <v>0.08</v>
      </c>
      <c r="F34">
        <f t="shared" si="1"/>
        <v>0.17</v>
      </c>
      <c r="G34" s="11">
        <f t="shared" si="2"/>
        <v>0.08</v>
      </c>
      <c r="O34" s="11">
        <v>8</v>
      </c>
      <c r="P34">
        <v>17</v>
      </c>
      <c r="Q34" s="11">
        <v>8</v>
      </c>
    </row>
    <row r="35" spans="1:17" x14ac:dyDescent="0.25">
      <c r="A35">
        <v>58</v>
      </c>
      <c r="B35">
        <v>92</v>
      </c>
      <c r="C35">
        <v>33000</v>
      </c>
      <c r="D35">
        <v>16500</v>
      </c>
      <c r="E35" s="11">
        <f t="shared" si="0"/>
        <v>8.2500000000000004E-2</v>
      </c>
      <c r="F35">
        <f t="shared" si="1"/>
        <v>0.17499999999999999</v>
      </c>
      <c r="G35" s="11">
        <f t="shared" si="2"/>
        <v>8.2500000000000004E-2</v>
      </c>
      <c r="O35" s="11">
        <v>8.25</v>
      </c>
      <c r="P35">
        <v>17.5</v>
      </c>
      <c r="Q35" s="11">
        <v>8.25</v>
      </c>
    </row>
    <row r="36" spans="1:17" x14ac:dyDescent="0.25">
      <c r="A36">
        <v>59</v>
      </c>
      <c r="B36">
        <v>93</v>
      </c>
      <c r="C36">
        <v>34000</v>
      </c>
      <c r="D36">
        <v>17000</v>
      </c>
      <c r="E36" s="11">
        <f t="shared" si="0"/>
        <v>8.5000000000000006E-2</v>
      </c>
      <c r="F36">
        <f t="shared" si="1"/>
        <v>0.18</v>
      </c>
      <c r="G36" s="11">
        <f t="shared" si="2"/>
        <v>8.5000000000000006E-2</v>
      </c>
      <c r="O36" s="11">
        <v>8.5</v>
      </c>
      <c r="P36">
        <v>18</v>
      </c>
      <c r="Q36" s="11">
        <v>8.5</v>
      </c>
    </row>
    <row r="37" spans="1:17" x14ac:dyDescent="0.25">
      <c r="A37">
        <v>60</v>
      </c>
      <c r="B37">
        <v>94</v>
      </c>
      <c r="C37">
        <v>35000</v>
      </c>
      <c r="D37">
        <v>17500</v>
      </c>
      <c r="E37" s="11">
        <f t="shared" si="0"/>
        <v>8.7499999999999994E-2</v>
      </c>
      <c r="F37">
        <f t="shared" si="1"/>
        <v>0.185</v>
      </c>
      <c r="G37" s="11">
        <f t="shared" si="2"/>
        <v>8.7499999999999994E-2</v>
      </c>
      <c r="O37" s="11">
        <v>8.75</v>
      </c>
      <c r="P37">
        <v>18.5</v>
      </c>
      <c r="Q37" s="11">
        <v>8.75</v>
      </c>
    </row>
    <row r="38" spans="1:17" x14ac:dyDescent="0.25">
      <c r="A38">
        <v>61</v>
      </c>
      <c r="B38">
        <v>95</v>
      </c>
      <c r="C38">
        <v>36000</v>
      </c>
      <c r="D38">
        <v>18000</v>
      </c>
      <c r="E38" s="11">
        <f t="shared" si="0"/>
        <v>0.09</v>
      </c>
      <c r="F38">
        <f t="shared" si="1"/>
        <v>0.19</v>
      </c>
      <c r="G38" s="11">
        <f t="shared" si="2"/>
        <v>0.09</v>
      </c>
      <c r="O38" s="11">
        <v>9</v>
      </c>
      <c r="P38">
        <v>19</v>
      </c>
      <c r="Q38" s="11">
        <v>9</v>
      </c>
    </row>
    <row r="39" spans="1:17" x14ac:dyDescent="0.25">
      <c r="A39">
        <v>62</v>
      </c>
      <c r="B39">
        <v>96</v>
      </c>
      <c r="C39">
        <v>37000</v>
      </c>
      <c r="D39">
        <v>18500</v>
      </c>
      <c r="E39" s="11">
        <f t="shared" si="0"/>
        <v>9.2499999999999999E-2</v>
      </c>
      <c r="F39">
        <f t="shared" si="1"/>
        <v>0.19500000000000001</v>
      </c>
      <c r="G39" s="11">
        <f t="shared" si="2"/>
        <v>9.2499999999999999E-2</v>
      </c>
      <c r="O39" s="11">
        <v>9.25</v>
      </c>
      <c r="P39">
        <v>19.5</v>
      </c>
      <c r="Q39" s="11">
        <v>9.25</v>
      </c>
    </row>
    <row r="40" spans="1:17" x14ac:dyDescent="0.25">
      <c r="A40">
        <v>63</v>
      </c>
      <c r="B40">
        <v>97</v>
      </c>
      <c r="C40">
        <v>38000</v>
      </c>
      <c r="D40">
        <v>19000</v>
      </c>
      <c r="E40" s="11">
        <f t="shared" si="0"/>
        <v>9.5000000000000001E-2</v>
      </c>
      <c r="F40">
        <f t="shared" si="1"/>
        <v>0.2</v>
      </c>
      <c r="G40" s="11">
        <f t="shared" si="2"/>
        <v>9.5000000000000001E-2</v>
      </c>
      <c r="O40" s="11">
        <v>9.5</v>
      </c>
      <c r="P40">
        <v>20</v>
      </c>
      <c r="Q40" s="11">
        <v>9.5</v>
      </c>
    </row>
    <row r="41" spans="1:17" x14ac:dyDescent="0.25">
      <c r="A41">
        <v>64</v>
      </c>
      <c r="B41">
        <v>98</v>
      </c>
      <c r="C41">
        <v>39000</v>
      </c>
      <c r="D41">
        <v>19500</v>
      </c>
      <c r="E41" s="11">
        <f t="shared" si="0"/>
        <v>9.7500000000000003E-2</v>
      </c>
      <c r="F41">
        <f t="shared" si="1"/>
        <v>0.20499999999999999</v>
      </c>
      <c r="G41" s="11">
        <f t="shared" si="2"/>
        <v>9.7500000000000003E-2</v>
      </c>
      <c r="O41" s="11">
        <v>9.75</v>
      </c>
      <c r="P41">
        <v>20.5</v>
      </c>
      <c r="Q41" s="11">
        <v>9.75</v>
      </c>
    </row>
    <row r="42" spans="1:17" x14ac:dyDescent="0.25">
      <c r="A42">
        <v>65</v>
      </c>
      <c r="B42">
        <v>99</v>
      </c>
      <c r="C42">
        <v>40000</v>
      </c>
      <c r="D42">
        <v>20000</v>
      </c>
      <c r="E42" s="11">
        <f t="shared" si="0"/>
        <v>0.1</v>
      </c>
      <c r="F42">
        <f t="shared" si="1"/>
        <v>0.21</v>
      </c>
      <c r="G42" s="11">
        <f t="shared" si="2"/>
        <v>0.1</v>
      </c>
      <c r="O42" s="11">
        <v>10</v>
      </c>
      <c r="P42">
        <v>21</v>
      </c>
      <c r="Q42" s="11">
        <v>10</v>
      </c>
    </row>
    <row r="43" spans="1:17" x14ac:dyDescent="0.25">
      <c r="A43">
        <v>66</v>
      </c>
      <c r="B43">
        <v>100</v>
      </c>
      <c r="C43">
        <v>41000</v>
      </c>
      <c r="D43">
        <v>20500</v>
      </c>
      <c r="E43" s="11">
        <f t="shared" si="0"/>
        <v>0.10249999999999999</v>
      </c>
      <c r="F43">
        <f t="shared" si="1"/>
        <v>0.215</v>
      </c>
      <c r="G43" s="11">
        <f t="shared" si="2"/>
        <v>0.10249999999999999</v>
      </c>
      <c r="O43" s="11">
        <v>10.25</v>
      </c>
      <c r="P43">
        <v>21.5</v>
      </c>
      <c r="Q43" s="11">
        <v>10.25</v>
      </c>
    </row>
    <row r="44" spans="1:17" x14ac:dyDescent="0.25">
      <c r="A44">
        <v>67</v>
      </c>
      <c r="B44">
        <v>101</v>
      </c>
      <c r="C44">
        <v>42000</v>
      </c>
      <c r="D44">
        <v>21000</v>
      </c>
      <c r="E44" s="11">
        <f t="shared" si="0"/>
        <v>0.105</v>
      </c>
      <c r="F44">
        <f t="shared" si="1"/>
        <v>0.22</v>
      </c>
      <c r="G44" s="11">
        <f t="shared" si="2"/>
        <v>0.105</v>
      </c>
      <c r="O44" s="11">
        <v>10.5</v>
      </c>
      <c r="P44">
        <v>22</v>
      </c>
      <c r="Q44" s="11">
        <v>10.5</v>
      </c>
    </row>
    <row r="45" spans="1:17" x14ac:dyDescent="0.25">
      <c r="A45">
        <v>68</v>
      </c>
      <c r="C45">
        <v>43000</v>
      </c>
      <c r="D45">
        <v>21500</v>
      </c>
      <c r="E45" s="11">
        <f t="shared" si="0"/>
        <v>0.1075</v>
      </c>
      <c r="F45">
        <f t="shared" si="1"/>
        <v>0.22500000000000001</v>
      </c>
      <c r="G45" s="11">
        <f t="shared" si="2"/>
        <v>0.1075</v>
      </c>
      <c r="O45" s="11">
        <v>10.75</v>
      </c>
      <c r="P45">
        <v>22.5</v>
      </c>
      <c r="Q45" s="11">
        <v>10.75</v>
      </c>
    </row>
    <row r="46" spans="1:17" x14ac:dyDescent="0.25">
      <c r="A46">
        <v>69</v>
      </c>
      <c r="C46">
        <v>44000</v>
      </c>
      <c r="D46">
        <v>22000</v>
      </c>
      <c r="E46" s="11">
        <f t="shared" si="0"/>
        <v>0.11</v>
      </c>
      <c r="F46">
        <f t="shared" si="1"/>
        <v>0.23</v>
      </c>
      <c r="O46" s="11">
        <v>11</v>
      </c>
      <c r="P46">
        <v>23</v>
      </c>
    </row>
    <row r="47" spans="1:17" x14ac:dyDescent="0.25">
      <c r="A47">
        <v>70</v>
      </c>
      <c r="C47">
        <v>45000</v>
      </c>
      <c r="D47">
        <v>22500</v>
      </c>
      <c r="E47" s="11">
        <f t="shared" si="0"/>
        <v>0.1125</v>
      </c>
      <c r="F47">
        <f t="shared" si="1"/>
        <v>0.23499999999999999</v>
      </c>
      <c r="O47" s="11">
        <v>11.25</v>
      </c>
      <c r="P47">
        <v>23.5</v>
      </c>
    </row>
    <row r="48" spans="1:17" x14ac:dyDescent="0.25">
      <c r="A48">
        <v>71</v>
      </c>
      <c r="C48">
        <v>46000</v>
      </c>
      <c r="D48">
        <v>23000</v>
      </c>
      <c r="E48" s="11">
        <f t="shared" si="0"/>
        <v>0.115</v>
      </c>
      <c r="F48">
        <f t="shared" si="1"/>
        <v>0.24</v>
      </c>
      <c r="O48" s="11">
        <v>11.5</v>
      </c>
      <c r="P48">
        <v>24</v>
      </c>
    </row>
    <row r="49" spans="1:16" x14ac:dyDescent="0.25">
      <c r="A49">
        <v>72</v>
      </c>
      <c r="C49">
        <v>47000</v>
      </c>
      <c r="D49">
        <v>23500</v>
      </c>
      <c r="E49" s="11">
        <f t="shared" si="0"/>
        <v>0.11749999999999999</v>
      </c>
      <c r="F49">
        <f t="shared" si="1"/>
        <v>0.245</v>
      </c>
      <c r="O49" s="11">
        <v>11.75</v>
      </c>
      <c r="P49">
        <v>24.5</v>
      </c>
    </row>
    <row r="50" spans="1:16" x14ac:dyDescent="0.25">
      <c r="A50">
        <v>73</v>
      </c>
      <c r="C50">
        <v>48000</v>
      </c>
      <c r="D50">
        <v>24000</v>
      </c>
      <c r="E50" s="11">
        <f t="shared" si="0"/>
        <v>0.12</v>
      </c>
      <c r="F50">
        <f t="shared" si="1"/>
        <v>0.25</v>
      </c>
      <c r="O50" s="11">
        <v>12</v>
      </c>
      <c r="P50">
        <v>25</v>
      </c>
    </row>
    <row r="51" spans="1:16" x14ac:dyDescent="0.25">
      <c r="A51">
        <v>74</v>
      </c>
      <c r="C51">
        <v>49000</v>
      </c>
      <c r="D51">
        <v>24500</v>
      </c>
      <c r="E51" s="11">
        <f t="shared" si="0"/>
        <v>0.1225</v>
      </c>
      <c r="F51">
        <f t="shared" si="1"/>
        <v>0.255</v>
      </c>
      <c r="O51" s="11">
        <v>12.25</v>
      </c>
      <c r="P51">
        <v>25.5</v>
      </c>
    </row>
    <row r="52" spans="1:16" x14ac:dyDescent="0.25">
      <c r="A52">
        <v>75</v>
      </c>
      <c r="C52">
        <v>50000</v>
      </c>
      <c r="D52">
        <v>25000</v>
      </c>
      <c r="E52" s="11">
        <f t="shared" si="0"/>
        <v>0.125</v>
      </c>
      <c r="F52">
        <f t="shared" si="1"/>
        <v>0.26</v>
      </c>
      <c r="O52" s="11">
        <v>12.5</v>
      </c>
      <c r="P52">
        <v>26</v>
      </c>
    </row>
    <row r="53" spans="1:16" x14ac:dyDescent="0.25">
      <c r="A53">
        <v>76</v>
      </c>
      <c r="C53">
        <v>51000</v>
      </c>
      <c r="D53">
        <v>25500</v>
      </c>
      <c r="E53" s="11">
        <f t="shared" si="0"/>
        <v>0.1275</v>
      </c>
      <c r="F53">
        <f t="shared" si="1"/>
        <v>0.26500000000000001</v>
      </c>
      <c r="O53" s="11">
        <v>12.75</v>
      </c>
      <c r="P53">
        <v>26.5</v>
      </c>
    </row>
    <row r="54" spans="1:16" x14ac:dyDescent="0.25">
      <c r="A54">
        <v>77</v>
      </c>
      <c r="C54">
        <v>52000</v>
      </c>
      <c r="D54">
        <v>26000</v>
      </c>
      <c r="E54" s="11">
        <f t="shared" si="0"/>
        <v>0.13</v>
      </c>
      <c r="F54">
        <f t="shared" si="1"/>
        <v>0.27</v>
      </c>
      <c r="O54" s="11">
        <v>13</v>
      </c>
      <c r="P54">
        <v>27</v>
      </c>
    </row>
    <row r="55" spans="1:16" x14ac:dyDescent="0.25">
      <c r="A55">
        <v>78</v>
      </c>
      <c r="C55">
        <v>53000</v>
      </c>
      <c r="D55">
        <v>26500</v>
      </c>
      <c r="E55" s="11">
        <f t="shared" si="0"/>
        <v>0.13250000000000001</v>
      </c>
      <c r="F55">
        <f t="shared" si="1"/>
        <v>0.27500000000000002</v>
      </c>
      <c r="O55" s="11">
        <v>13.25</v>
      </c>
      <c r="P55">
        <v>27.5</v>
      </c>
    </row>
    <row r="56" spans="1:16" x14ac:dyDescent="0.25">
      <c r="A56">
        <v>79</v>
      </c>
      <c r="C56">
        <v>54000</v>
      </c>
      <c r="D56">
        <v>27000</v>
      </c>
      <c r="E56" s="11">
        <f t="shared" si="0"/>
        <v>0.13500000000000001</v>
      </c>
      <c r="F56">
        <f t="shared" si="1"/>
        <v>0.28000000000000003</v>
      </c>
      <c r="O56" s="11">
        <v>13.5</v>
      </c>
      <c r="P56">
        <v>28</v>
      </c>
    </row>
    <row r="57" spans="1:16" x14ac:dyDescent="0.25">
      <c r="A57">
        <v>80</v>
      </c>
      <c r="C57">
        <v>55000</v>
      </c>
      <c r="D57">
        <v>27500</v>
      </c>
      <c r="E57" s="11">
        <f t="shared" si="0"/>
        <v>0.13750000000000001</v>
      </c>
      <c r="F57">
        <f t="shared" si="1"/>
        <v>0.28499999999999998</v>
      </c>
      <c r="O57" s="11">
        <v>13.75</v>
      </c>
      <c r="P57">
        <v>28.5</v>
      </c>
    </row>
    <row r="58" spans="1:16" x14ac:dyDescent="0.25">
      <c r="A58">
        <v>81</v>
      </c>
      <c r="C58">
        <v>56000</v>
      </c>
      <c r="D58">
        <v>28000</v>
      </c>
      <c r="E58" s="11">
        <f t="shared" si="0"/>
        <v>0.14000000000000001</v>
      </c>
      <c r="F58">
        <f t="shared" si="1"/>
        <v>0.28999999999999998</v>
      </c>
      <c r="O58" s="11">
        <v>14</v>
      </c>
      <c r="P58">
        <v>29</v>
      </c>
    </row>
    <row r="59" spans="1:16" x14ac:dyDescent="0.25">
      <c r="A59">
        <v>82</v>
      </c>
      <c r="C59">
        <v>57000</v>
      </c>
      <c r="D59">
        <v>28500</v>
      </c>
      <c r="E59" s="11">
        <f t="shared" si="0"/>
        <v>0.14249999999999999</v>
      </c>
      <c r="F59">
        <f t="shared" si="1"/>
        <v>0.29499999999999998</v>
      </c>
      <c r="O59" s="11">
        <v>14.25</v>
      </c>
      <c r="P59">
        <v>29.5</v>
      </c>
    </row>
    <row r="60" spans="1:16" x14ac:dyDescent="0.25">
      <c r="A60">
        <v>83</v>
      </c>
      <c r="C60">
        <v>58000</v>
      </c>
      <c r="D60">
        <v>29000</v>
      </c>
      <c r="E60" s="11">
        <f t="shared" si="0"/>
        <v>0.14499999999999999</v>
      </c>
      <c r="F60">
        <f t="shared" si="1"/>
        <v>0.3</v>
      </c>
      <c r="O60" s="11">
        <v>14.5</v>
      </c>
      <c r="P60">
        <v>30</v>
      </c>
    </row>
    <row r="61" spans="1:16" x14ac:dyDescent="0.25">
      <c r="A61">
        <v>84</v>
      </c>
      <c r="C61">
        <v>59000</v>
      </c>
      <c r="D61">
        <v>29500</v>
      </c>
      <c r="E61" s="11">
        <f t="shared" si="0"/>
        <v>0.14749999999999999</v>
      </c>
      <c r="F61">
        <f t="shared" si="1"/>
        <v>0.30499999999999999</v>
      </c>
      <c r="O61" s="11">
        <v>14.75</v>
      </c>
      <c r="P61">
        <v>30.5</v>
      </c>
    </row>
    <row r="62" spans="1:16" x14ac:dyDescent="0.25">
      <c r="A62">
        <v>85</v>
      </c>
      <c r="C62">
        <v>60000</v>
      </c>
      <c r="D62">
        <v>30000</v>
      </c>
      <c r="E62" s="11">
        <f t="shared" si="0"/>
        <v>0.15</v>
      </c>
      <c r="F62">
        <f t="shared" si="1"/>
        <v>0.31</v>
      </c>
      <c r="O62" s="11">
        <v>15</v>
      </c>
      <c r="P62">
        <v>31</v>
      </c>
    </row>
    <row r="63" spans="1:16" x14ac:dyDescent="0.25">
      <c r="A63">
        <v>86</v>
      </c>
      <c r="C63">
        <v>61000</v>
      </c>
      <c r="D63">
        <v>30500</v>
      </c>
      <c r="E63" s="11">
        <f t="shared" si="0"/>
        <v>0.1525</v>
      </c>
      <c r="F63">
        <f t="shared" si="1"/>
        <v>0.315</v>
      </c>
      <c r="O63" s="11">
        <v>15.25</v>
      </c>
      <c r="P63">
        <v>31.5</v>
      </c>
    </row>
    <row r="64" spans="1:16" x14ac:dyDescent="0.25">
      <c r="A64">
        <v>87</v>
      </c>
      <c r="C64">
        <v>62000</v>
      </c>
      <c r="D64">
        <v>31000</v>
      </c>
      <c r="E64" s="11">
        <f t="shared" si="0"/>
        <v>0.155</v>
      </c>
      <c r="F64">
        <f t="shared" si="1"/>
        <v>0.32</v>
      </c>
      <c r="O64" s="11">
        <v>15.5</v>
      </c>
      <c r="P64">
        <v>32</v>
      </c>
    </row>
    <row r="65" spans="1:16" x14ac:dyDescent="0.25">
      <c r="A65">
        <v>88</v>
      </c>
      <c r="C65">
        <v>63000</v>
      </c>
      <c r="D65">
        <v>31500</v>
      </c>
      <c r="E65" s="11">
        <f t="shared" si="0"/>
        <v>0.1575</v>
      </c>
      <c r="F65">
        <f t="shared" si="1"/>
        <v>0.32500000000000001</v>
      </c>
      <c r="O65" s="11">
        <v>15.75</v>
      </c>
      <c r="P65">
        <v>32.5</v>
      </c>
    </row>
    <row r="66" spans="1:16" x14ac:dyDescent="0.25">
      <c r="A66">
        <v>89</v>
      </c>
      <c r="C66">
        <v>64000</v>
      </c>
      <c r="D66">
        <v>32000</v>
      </c>
      <c r="E66" s="11">
        <f t="shared" si="0"/>
        <v>0.16</v>
      </c>
      <c r="F66">
        <f t="shared" si="1"/>
        <v>0.33</v>
      </c>
      <c r="O66" s="11">
        <v>16</v>
      </c>
      <c r="P66">
        <v>33</v>
      </c>
    </row>
    <row r="67" spans="1:16" x14ac:dyDescent="0.25">
      <c r="A67">
        <v>90</v>
      </c>
      <c r="C67">
        <v>65000</v>
      </c>
      <c r="D67">
        <v>32500</v>
      </c>
      <c r="E67" s="11">
        <f t="shared" ref="E67:E86" si="3">O67/100</f>
        <v>0.16250000000000001</v>
      </c>
      <c r="F67">
        <f t="shared" ref="F67:F79" si="4">P67/100</f>
        <v>0.33500000000000002</v>
      </c>
      <c r="O67" s="11">
        <v>16.25</v>
      </c>
      <c r="P67">
        <v>33.5</v>
      </c>
    </row>
    <row r="68" spans="1:16" x14ac:dyDescent="0.25">
      <c r="A68">
        <v>91</v>
      </c>
      <c r="C68">
        <v>66000</v>
      </c>
      <c r="D68">
        <v>33000</v>
      </c>
      <c r="E68" s="11">
        <f t="shared" si="3"/>
        <v>0.16500000000000001</v>
      </c>
      <c r="F68">
        <f t="shared" si="4"/>
        <v>0.34</v>
      </c>
      <c r="O68" s="11">
        <v>16.5</v>
      </c>
      <c r="P68">
        <v>34</v>
      </c>
    </row>
    <row r="69" spans="1:16" x14ac:dyDescent="0.25">
      <c r="A69">
        <v>92</v>
      </c>
      <c r="C69">
        <v>67000</v>
      </c>
      <c r="D69">
        <v>33500</v>
      </c>
      <c r="E69" s="11">
        <f t="shared" si="3"/>
        <v>0.16750000000000001</v>
      </c>
      <c r="F69">
        <f t="shared" si="4"/>
        <v>0.34499999999999997</v>
      </c>
      <c r="O69" s="11">
        <v>16.75</v>
      </c>
      <c r="P69">
        <v>34.5</v>
      </c>
    </row>
    <row r="70" spans="1:16" x14ac:dyDescent="0.25">
      <c r="A70">
        <v>93</v>
      </c>
      <c r="C70">
        <v>68000</v>
      </c>
      <c r="D70">
        <v>34000</v>
      </c>
      <c r="E70" s="11">
        <f t="shared" si="3"/>
        <v>0.17</v>
      </c>
      <c r="F70">
        <f t="shared" si="4"/>
        <v>0.35</v>
      </c>
      <c r="O70" s="11">
        <v>17</v>
      </c>
      <c r="P70">
        <v>35</v>
      </c>
    </row>
    <row r="71" spans="1:16" x14ac:dyDescent="0.25">
      <c r="A71">
        <v>94</v>
      </c>
      <c r="C71">
        <v>69000</v>
      </c>
      <c r="D71">
        <v>34500</v>
      </c>
      <c r="E71" s="11">
        <f t="shared" si="3"/>
        <v>0.17249999999999999</v>
      </c>
      <c r="F71">
        <f t="shared" si="4"/>
        <v>0.35499999999999998</v>
      </c>
      <c r="O71" s="11">
        <v>17.25</v>
      </c>
      <c r="P71">
        <v>35.5</v>
      </c>
    </row>
    <row r="72" spans="1:16" x14ac:dyDescent="0.25">
      <c r="A72">
        <v>95</v>
      </c>
      <c r="C72">
        <v>70000</v>
      </c>
      <c r="D72">
        <v>35000</v>
      </c>
      <c r="E72" s="11">
        <f t="shared" si="3"/>
        <v>0.17499999999999999</v>
      </c>
      <c r="F72">
        <f t="shared" si="4"/>
        <v>0.36</v>
      </c>
      <c r="O72" s="11">
        <v>17.5</v>
      </c>
      <c r="P72">
        <v>36</v>
      </c>
    </row>
    <row r="73" spans="1:16" x14ac:dyDescent="0.25">
      <c r="A73">
        <v>96</v>
      </c>
      <c r="C73">
        <v>71000</v>
      </c>
      <c r="D73">
        <v>35500</v>
      </c>
      <c r="E73" s="11">
        <f t="shared" si="3"/>
        <v>0.17749999999999999</v>
      </c>
      <c r="F73">
        <f t="shared" si="4"/>
        <v>0.36499999999999999</v>
      </c>
      <c r="O73" s="11">
        <v>17.75</v>
      </c>
      <c r="P73">
        <v>36.5</v>
      </c>
    </row>
    <row r="74" spans="1:16" x14ac:dyDescent="0.25">
      <c r="A74">
        <v>97</v>
      </c>
      <c r="C74">
        <v>72000</v>
      </c>
      <c r="D74">
        <v>36000</v>
      </c>
      <c r="E74" s="11">
        <f t="shared" si="3"/>
        <v>0.18</v>
      </c>
      <c r="F74">
        <f t="shared" si="4"/>
        <v>0.37</v>
      </c>
      <c r="O74" s="11">
        <v>18</v>
      </c>
      <c r="P74">
        <v>37</v>
      </c>
    </row>
    <row r="75" spans="1:16" x14ac:dyDescent="0.25">
      <c r="A75">
        <v>98</v>
      </c>
      <c r="C75">
        <v>73000</v>
      </c>
      <c r="D75">
        <v>36500</v>
      </c>
      <c r="E75" s="11">
        <f t="shared" si="3"/>
        <v>0.1825</v>
      </c>
      <c r="F75">
        <f t="shared" si="4"/>
        <v>0.375</v>
      </c>
      <c r="O75" s="11">
        <v>18.25</v>
      </c>
      <c r="P75">
        <v>37.5</v>
      </c>
    </row>
    <row r="76" spans="1:16" x14ac:dyDescent="0.25">
      <c r="A76">
        <v>99</v>
      </c>
      <c r="C76">
        <v>74000</v>
      </c>
      <c r="D76">
        <v>37000</v>
      </c>
      <c r="E76" s="11">
        <f t="shared" si="3"/>
        <v>0.185</v>
      </c>
      <c r="F76">
        <f t="shared" si="4"/>
        <v>0.38</v>
      </c>
      <c r="O76" s="11">
        <v>18.5</v>
      </c>
      <c r="P76">
        <v>38</v>
      </c>
    </row>
    <row r="77" spans="1:16" x14ac:dyDescent="0.25">
      <c r="A77">
        <v>100</v>
      </c>
      <c r="C77">
        <v>75000</v>
      </c>
      <c r="D77">
        <v>37500</v>
      </c>
      <c r="E77" s="11">
        <f t="shared" si="3"/>
        <v>0.1875</v>
      </c>
      <c r="F77">
        <f t="shared" si="4"/>
        <v>0.38500000000000001</v>
      </c>
      <c r="O77" s="11">
        <v>18.75</v>
      </c>
      <c r="P77">
        <v>38.5</v>
      </c>
    </row>
    <row r="78" spans="1:16" x14ac:dyDescent="0.25">
      <c r="A78">
        <v>101</v>
      </c>
      <c r="C78">
        <v>76000</v>
      </c>
      <c r="D78">
        <v>38000</v>
      </c>
      <c r="E78" s="11">
        <f t="shared" si="3"/>
        <v>0.19</v>
      </c>
      <c r="F78">
        <f t="shared" si="4"/>
        <v>0.39</v>
      </c>
      <c r="O78" s="11">
        <v>19</v>
      </c>
      <c r="P78">
        <v>39</v>
      </c>
    </row>
    <row r="79" spans="1:16" x14ac:dyDescent="0.25">
      <c r="D79">
        <v>38500</v>
      </c>
      <c r="E79" s="11">
        <f t="shared" si="3"/>
        <v>0.1925</v>
      </c>
      <c r="F79">
        <f t="shared" si="4"/>
        <v>0.39500000000000002</v>
      </c>
      <c r="O79" s="11">
        <v>19.25</v>
      </c>
      <c r="P79">
        <v>39.5</v>
      </c>
    </row>
    <row r="80" spans="1:16" x14ac:dyDescent="0.25">
      <c r="D80">
        <v>39000</v>
      </c>
      <c r="E80" s="11">
        <f t="shared" si="3"/>
        <v>0.19500000000000001</v>
      </c>
      <c r="O80" s="11">
        <v>19.5</v>
      </c>
    </row>
    <row r="81" spans="4:15" x14ac:dyDescent="0.25">
      <c r="D81">
        <v>39500</v>
      </c>
      <c r="E81" s="11">
        <f t="shared" si="3"/>
        <v>0.19750000000000001</v>
      </c>
      <c r="O81" s="11">
        <v>19.75</v>
      </c>
    </row>
    <row r="82" spans="4:15" x14ac:dyDescent="0.25">
      <c r="D82">
        <v>40000</v>
      </c>
      <c r="E82" s="11">
        <f t="shared" si="3"/>
        <v>0.2</v>
      </c>
      <c r="O82" s="11">
        <v>20</v>
      </c>
    </row>
    <row r="83" spans="4:15" x14ac:dyDescent="0.25">
      <c r="D83">
        <v>40500</v>
      </c>
      <c r="E83" s="11">
        <f t="shared" si="3"/>
        <v>0.20250000000000001</v>
      </c>
      <c r="O83" s="11">
        <v>20.25</v>
      </c>
    </row>
    <row r="84" spans="4:15" x14ac:dyDescent="0.25">
      <c r="D84">
        <v>41000</v>
      </c>
      <c r="E84" s="11">
        <f t="shared" si="3"/>
        <v>0.20499999999999999</v>
      </c>
      <c r="O84" s="11">
        <v>20.5</v>
      </c>
    </row>
    <row r="85" spans="4:15" x14ac:dyDescent="0.25">
      <c r="D85">
        <v>41500</v>
      </c>
      <c r="E85" s="11">
        <f t="shared" si="3"/>
        <v>0.20749999999999999</v>
      </c>
      <c r="O85" s="11">
        <v>20.75</v>
      </c>
    </row>
    <row r="86" spans="4:15" x14ac:dyDescent="0.25">
      <c r="D86">
        <v>42000</v>
      </c>
      <c r="E86" s="11">
        <f t="shared" si="3"/>
        <v>0.21</v>
      </c>
      <c r="O86" s="11">
        <v>21</v>
      </c>
    </row>
    <row r="87" spans="4:15" x14ac:dyDescent="0.25">
      <c r="D87">
        <v>42500</v>
      </c>
    </row>
    <row r="88" spans="4:15" x14ac:dyDescent="0.25">
      <c r="D88">
        <v>43000</v>
      </c>
    </row>
    <row r="89" spans="4:15" x14ac:dyDescent="0.25">
      <c r="D89">
        <v>43500</v>
      </c>
    </row>
    <row r="90" spans="4:15" x14ac:dyDescent="0.25">
      <c r="D90">
        <v>44000</v>
      </c>
    </row>
    <row r="91" spans="4:15" x14ac:dyDescent="0.25">
      <c r="D91">
        <v>44500</v>
      </c>
    </row>
    <row r="92" spans="4:15" x14ac:dyDescent="0.25">
      <c r="D92">
        <v>45000</v>
      </c>
    </row>
    <row r="93" spans="4:15" x14ac:dyDescent="0.25">
      <c r="D93">
        <v>45500</v>
      </c>
    </row>
    <row r="94" spans="4:15" x14ac:dyDescent="0.25">
      <c r="D94">
        <v>46000</v>
      </c>
    </row>
    <row r="95" spans="4:15" x14ac:dyDescent="0.25">
      <c r="D95">
        <v>46500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DataEngine</vt:lpstr>
      <vt:lpstr>Visualizer</vt:lpstr>
      <vt:lpstr>Under-the-Hood</vt:lpstr>
      <vt:lpstr>annual_contribution</vt:lpstr>
      <vt:lpstr>inflation</vt:lpstr>
      <vt:lpstr>inflation_rate</vt:lpstr>
      <vt:lpstr>retirement_age</vt:lpstr>
      <vt:lpstr>return_rate</vt:lpstr>
      <vt:lpstr>start_age</vt:lpstr>
      <vt:lpstr>start_year</vt:lpstr>
      <vt:lpstr>starting_portfolio</vt:lpstr>
      <vt:lpstr>withdrawal_rate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Gladys Mumbua</dc:creator>
  <cp:lastModifiedBy>Gladys Mumbua</cp:lastModifiedBy>
  <dcterms:created xsi:type="dcterms:W3CDTF">2025-08-28T16:18:54Z</dcterms:created>
  <dcterms:modified xsi:type="dcterms:W3CDTF">2025-09-02T23:48:25Z</dcterms:modified>
</cp:coreProperties>
</file>